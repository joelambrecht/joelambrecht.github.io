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mbr\OneDrive - University of St. Thomas\Personal\Deal or No Deal\"/>
    </mc:Choice>
  </mc:AlternateContent>
  <xr:revisionPtr revIDLastSave="0" documentId="13_ncr:1_{AF32E542-3FA1-47CA-930C-CBE06EF8AB34}" xr6:coauthVersionLast="47" xr6:coauthVersionMax="47" xr10:uidLastSave="{00000000-0000-0000-0000-000000000000}"/>
  <bookViews>
    <workbookView xWindow="-108" yWindow="-108" windowWidth="23256" windowHeight="12576" xr2:uid="{73D1C53F-2AEA-4E97-9523-EB7EEA882828}"/>
  </bookViews>
  <sheets>
    <sheet name="Deal or No Deal!" sheetId="3" r:id="rId1"/>
    <sheet name="Program" sheetId="1" r:id="rId2"/>
    <sheet name="Case Values" sheetId="4" r:id="rId3"/>
  </sheet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B1" i="4" a="1"/>
  <c r="B1" i="4" s="1"/>
  <c r="I3" i="3" s="1"/>
  <c r="R2" i="3"/>
  <c r="O13" i="3"/>
  <c r="P13" i="3" l="1"/>
  <c r="L17" i="3"/>
  <c r="L13" i="3"/>
  <c r="L11" i="3"/>
  <c r="L25" i="3"/>
  <c r="L9" i="3"/>
  <c r="L23" i="3"/>
  <c r="L7" i="3"/>
  <c r="L15" i="3"/>
  <c r="L21" i="3"/>
  <c r="L5" i="3"/>
  <c r="L19" i="3"/>
  <c r="L3" i="3"/>
  <c r="I25" i="3"/>
  <c r="I23" i="3"/>
  <c r="L27" i="3"/>
  <c r="I27" i="3"/>
  <c r="I15" i="3"/>
  <c r="I7" i="3"/>
  <c r="I5" i="3"/>
  <c r="I21" i="3"/>
  <c r="I13" i="3"/>
  <c r="I19" i="3"/>
  <c r="I11" i="3"/>
  <c r="I17" i="3"/>
  <c r="I9" i="3"/>
  <c r="R3" i="3"/>
  <c r="B2" i="1" l="1"/>
  <c r="A21" i="1" s="1"/>
  <c r="D13" i="1"/>
  <c r="C32" i="1" s="1"/>
  <c r="B12" i="1"/>
  <c r="A31" i="1" s="1"/>
  <c r="D9" i="1"/>
  <c r="B28" i="1" s="1"/>
  <c r="B4" i="1"/>
  <c r="A23" i="1" s="1"/>
  <c r="D7" i="1"/>
  <c r="D10" i="3" s="1"/>
  <c r="B6" i="1"/>
  <c r="A25" i="1" s="1"/>
  <c r="B10" i="1"/>
  <c r="A29" i="1" s="1"/>
  <c r="B9" i="1"/>
  <c r="A28" i="1" s="1"/>
  <c r="D3" i="1"/>
  <c r="B22" i="1" s="1"/>
  <c r="D12" i="1"/>
  <c r="C31" i="1" s="1"/>
  <c r="B1" i="1"/>
  <c r="A20" i="1" s="1"/>
  <c r="D11" i="1"/>
  <c r="C30" i="1" s="1"/>
  <c r="D5" i="1"/>
  <c r="C24" i="1" s="1"/>
  <c r="B11" i="1"/>
  <c r="A30" i="1" s="1"/>
  <c r="D8" i="1"/>
  <c r="D11" i="3" s="1"/>
  <c r="B7" i="1"/>
  <c r="A26" i="1" s="1"/>
  <c r="D1" i="1"/>
  <c r="D4" i="3" s="1"/>
  <c r="B3" i="1"/>
  <c r="A22" i="1" s="1"/>
  <c r="B13" i="1"/>
  <c r="A32" i="1" s="1"/>
  <c r="B5" i="1"/>
  <c r="A24" i="1" s="1"/>
  <c r="D2" i="1"/>
  <c r="B21" i="1" s="1"/>
  <c r="D4" i="1"/>
  <c r="C23" i="1" s="1"/>
  <c r="D6" i="1"/>
  <c r="B25" i="1" s="1"/>
  <c r="B8" i="1"/>
  <c r="A27" i="1" s="1"/>
  <c r="D10" i="1"/>
  <c r="B29" i="1" s="1"/>
  <c r="P2" i="3"/>
  <c r="B4" i="3" l="1"/>
  <c r="B7" i="3"/>
  <c r="B9" i="3"/>
  <c r="B5" i="3"/>
  <c r="B15" i="3"/>
  <c r="D8" i="3"/>
  <c r="D7" i="3"/>
  <c r="B14" i="3"/>
  <c r="B16" i="3"/>
  <c r="D16" i="3"/>
  <c r="D9" i="3"/>
  <c r="B13" i="3"/>
  <c r="D12" i="3"/>
  <c r="B32" i="1"/>
  <c r="P3" i="3"/>
  <c r="B11" i="3"/>
  <c r="B8" i="3"/>
  <c r="B10" i="3"/>
  <c r="B12" i="3"/>
  <c r="D14" i="3"/>
  <c r="B30" i="1"/>
  <c r="C25" i="1"/>
  <c r="B23" i="1"/>
  <c r="B27" i="1"/>
  <c r="C28" i="1"/>
  <c r="C27" i="1"/>
  <c r="C20" i="1"/>
  <c r="D6" i="3"/>
  <c r="D15" i="3"/>
  <c r="B31" i="1"/>
  <c r="D5" i="3"/>
  <c r="B20" i="1"/>
  <c r="C21" i="1"/>
  <c r="B24" i="1"/>
  <c r="C29" i="1"/>
  <c r="C26" i="1"/>
  <c r="D13" i="3"/>
  <c r="C22" i="1"/>
  <c r="B6" i="3"/>
  <c r="B26" i="1"/>
  <c r="O11" i="3" l="1"/>
  <c r="G2" i="1"/>
  <c r="G4" i="1" s="1"/>
  <c r="G1" i="1"/>
  <c r="G3" i="1" l="1"/>
  <c r="G6" i="1"/>
  <c r="G5" i="1"/>
  <c r="G8" i="1" l="1"/>
  <c r="P1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<sst xmlns="http://schemas.openxmlformats.org/spreadsheetml/2006/main" count="63" uniqueCount="56">
  <si>
    <t>Average of remaining cases:</t>
  </si>
  <si>
    <t>Number of cases above:</t>
  </si>
  <si>
    <t xml:space="preserve">Cases </t>
  </si>
  <si>
    <t>Round</t>
  </si>
  <si>
    <t>Case 1:</t>
  </si>
  <si>
    <t>Case 14:</t>
  </si>
  <si>
    <t>Case 15:</t>
  </si>
  <si>
    <t>Case 16:</t>
  </si>
  <si>
    <t>Case 17:</t>
  </si>
  <si>
    <t>Case 18:</t>
  </si>
  <si>
    <t>Case 19:</t>
  </si>
  <si>
    <t>Case 20:</t>
  </si>
  <si>
    <t>Case 21:</t>
  </si>
  <si>
    <t>Case 22:</t>
  </si>
  <si>
    <t>Case 23:</t>
  </si>
  <si>
    <t>Case 24:</t>
  </si>
  <si>
    <t>Case 25:</t>
  </si>
  <si>
    <t>Case 26:</t>
  </si>
  <si>
    <t>Case 2:</t>
  </si>
  <si>
    <t>Case 3:</t>
  </si>
  <si>
    <t>Case 4:</t>
  </si>
  <si>
    <t>Case 5:</t>
  </si>
  <si>
    <t>Case 6:</t>
  </si>
  <si>
    <t>Case 7:</t>
  </si>
  <si>
    <t>Case 8:</t>
  </si>
  <si>
    <t>Case 9:</t>
  </si>
  <si>
    <t>Case 10:</t>
  </si>
  <si>
    <t>Case 11:</t>
  </si>
  <si>
    <t>Case 12:</t>
  </si>
  <si>
    <t>Case 13:</t>
  </si>
  <si>
    <t>Remaining Cases:</t>
  </si>
  <si>
    <t xml:space="preserve">Cases Opened: </t>
  </si>
  <si>
    <t xml:space="preserve">Round: </t>
  </si>
  <si>
    <t xml:space="preserve"> </t>
  </si>
  <si>
    <t>Cases to Open:</t>
  </si>
  <si>
    <t>Tot. Cases</t>
  </si>
  <si>
    <t>Variance of remaining cases:</t>
  </si>
  <si>
    <t>Number of cases below:</t>
  </si>
  <si>
    <t>Offer:</t>
  </si>
  <si>
    <t>Number of cases far above:</t>
  </si>
  <si>
    <t>Number of cases far below:</t>
  </si>
  <si>
    <t>Remaining Cases</t>
  </si>
  <si>
    <t>My Case:</t>
  </si>
  <si>
    <t>Random Modifier:</t>
  </si>
  <si>
    <t>Round 1:</t>
  </si>
  <si>
    <t>Round 2:</t>
  </si>
  <si>
    <t>Round 3:</t>
  </si>
  <si>
    <t>Round 4:</t>
  </si>
  <si>
    <t>Round 5:</t>
  </si>
  <si>
    <t>Round 6:</t>
  </si>
  <si>
    <t>Round 7:</t>
  </si>
  <si>
    <t>Round 8:</t>
  </si>
  <si>
    <t>Round 9:</t>
  </si>
  <si>
    <t>Round 10: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</si>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</sst>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_([$$-409]* #,##0.00_);_([$$-409]* \(#,##0.00\);_([$$-409]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Border="1"/>
    <xf numFmtId="0" fontId="2" fillId="2" borderId="0" xfId="2" applyFill="1"/>
    <xf numFmtId="164" fontId="0" fillId="3" borderId="13" xfId="0" applyNumberFormat="1" applyFill="1" applyBorder="1"/>
    <xf numFmtId="0" fontId="0" fillId="3" borderId="9" xfId="0" applyFill="1" applyBorder="1"/>
    <xf numFmtId="164" fontId="0" fillId="3" borderId="9" xfId="0" applyNumberFormat="1" applyFill="1" applyBorder="1"/>
    <xf numFmtId="0" fontId="0" fillId="3" borderId="14" xfId="0" applyFill="1" applyBorder="1"/>
    <xf numFmtId="164" fontId="0" fillId="3" borderId="15" xfId="0" applyNumberFormat="1" applyFill="1" applyBorder="1"/>
    <xf numFmtId="0" fontId="0" fillId="3" borderId="16" xfId="0" applyFill="1" applyBorder="1"/>
    <xf numFmtId="164" fontId="0" fillId="3" borderId="16" xfId="0" applyNumberFormat="1" applyFill="1" applyBorder="1"/>
    <xf numFmtId="0" fontId="0" fillId="3" borderId="17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3" borderId="6" xfId="0" applyFill="1" applyBorder="1"/>
    <xf numFmtId="0" fontId="0" fillId="3" borderId="7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19" xfId="0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5" fillId="3" borderId="18" xfId="0" applyFont="1" applyFill="1" applyBorder="1"/>
    <xf numFmtId="0" fontId="6" fillId="0" borderId="0" xfId="0" applyFont="1"/>
    <xf numFmtId="0" fontId="0" fillId="3" borderId="4" xfId="0" applyFill="1" applyBorder="1"/>
    <xf numFmtId="0" fontId="7" fillId="2" borderId="0" xfId="0" applyFont="1" applyFill="1"/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165" fontId="3" fillId="3" borderId="23" xfId="1" applyNumberFormat="1" applyFont="1" applyFill="1" applyBorder="1" applyAlignment="1">
      <alignment horizontal="right" vertical="center"/>
    </xf>
    <xf numFmtId="165" fontId="3" fillId="3" borderId="24" xfId="1" applyNumberFormat="1" applyFont="1" applyFill="1" applyBorder="1" applyAlignment="1">
      <alignment horizontal="right" vertical="center"/>
    </xf>
    <xf numFmtId="165" fontId="3" fillId="3" borderId="25" xfId="1" applyNumberFormat="1" applyFont="1" applyFill="1" applyBorder="1" applyAlignment="1">
      <alignment horizontal="right" vertical="center"/>
    </xf>
    <xf numFmtId="165" fontId="3" fillId="3" borderId="26" xfId="1" applyNumberFormat="1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44" fontId="3" fillId="2" borderId="0" xfId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44" fontId="0" fillId="3" borderId="21" xfId="1" applyFont="1" applyFill="1" applyBorder="1" applyAlignment="1">
      <alignment vertical="center"/>
    </xf>
    <xf numFmtId="44" fontId="0" fillId="3" borderId="20" xfId="1" applyFont="1" applyFill="1" applyBorder="1" applyAlignment="1">
      <alignment vertical="center"/>
    </xf>
    <xf numFmtId="44" fontId="0" fillId="3" borderId="22" xfId="1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44" fontId="0" fillId="3" borderId="5" xfId="1" applyFont="1" applyFill="1" applyBorder="1" applyAlignment="1">
      <alignment vertical="center"/>
    </xf>
    <xf numFmtId="44" fontId="0" fillId="3" borderId="8" xfId="1" applyFon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44" fontId="0" fillId="3" borderId="7" xfId="1" applyFont="1" applyFill="1" applyBorder="1" applyAlignment="1">
      <alignment horizontal="center"/>
    </xf>
    <xf numFmtId="44" fontId="0" fillId="3" borderId="8" xfId="1" applyFont="1" applyFill="1" applyBorder="1" applyAlignment="1">
      <alignment horizontal="center"/>
    </xf>
    <xf numFmtId="44" fontId="0" fillId="3" borderId="0" xfId="1" applyFont="1" applyFill="1" applyBorder="1" applyAlignment="1">
      <alignment horizontal="center"/>
    </xf>
    <xf numFmtId="44" fontId="0" fillId="3" borderId="5" xfId="1" applyFont="1" applyFill="1" applyBorder="1" applyAlignment="1">
      <alignment horizontal="center"/>
    </xf>
    <xf numFmtId="44" fontId="0" fillId="3" borderId="2" xfId="1" applyFont="1" applyFill="1" applyBorder="1" applyAlignment="1">
      <alignment horizontal="center"/>
    </xf>
    <xf numFmtId="44" fontId="0" fillId="3" borderId="3" xfId="1" applyFont="1" applyFill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5">
    <dxf>
      <fill>
        <patternFill patternType="darkGrid">
          <fgColor theme="2" tint="-0.499984740745262"/>
          <bgColor theme="2" tint="-9.9917600024414813E-2"/>
        </patternFill>
      </fill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125">
          <bgColor rgb="FFFFD13F"/>
        </patternFill>
      </fill>
    </dxf>
    <dxf>
      <font>
        <strike val="0"/>
      </font>
      <fill>
        <patternFill patternType="gray125">
          <bgColor rgb="FFFFD13F"/>
        </patternFill>
      </fill>
    </dxf>
    <dxf>
      <fill>
        <patternFill patternType="darkGrid">
          <fgColor theme="2" tint="-0.499984740745262"/>
          <bgColor theme="2" tint="-9.9948118533890809E-2"/>
        </patternFill>
      </fill>
    </dxf>
  </dxfs>
  <tableStyles count="0" defaultTableStyle="TableStyleMedium2" defaultPivotStyle="PivotStyleLight16"/>
  <colors>
    <mruColors>
      <color rgb="FFFFD13F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601980</xdr:colOff>
      <xdr:row>15</xdr:row>
      <xdr:rowOff>0</xdr:rowOff>
    </xdr:from>
    <xdr:to>
      <xdr:col>15</xdr:col>
      <xdr:colOff>0</xdr:colOff>
      <xdr:row>16</xdr:row>
      <xdr:rowOff>0</xdr:rowOff>
    </xdr:to>
    <xdr:sp macro="[0]!Accept_Off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6E29CC-532A-4384-B356-84DBBF307153}"/>
            </a:ext>
          </a:extLst>
        </xdr:cNvPr>
        <xdr:cNvSpPr/>
      </xdr:nvSpPr>
      <xdr:spPr>
        <a:xfrm>
          <a:off x="8351520" y="2788920"/>
          <a:ext cx="1135380" cy="205740"/>
        </a:xfrm>
        <a:prstGeom prst="roundRect">
          <a:avLst/>
        </a:prstGeom>
        <a:ln w="19050"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Accept Offer</a:t>
          </a:r>
        </a:p>
      </xdr:txBody>
    </xdr:sp>
    <xdr:clientData/>
  </xdr:twoCellAnchor>
  <xdr:twoCellAnchor>
    <xdr:from>
      <xdr:col>18</xdr:col>
      <xdr:colOff>563880</xdr:colOff>
      <xdr:row>7</xdr:row>
      <xdr:rowOff>175260</xdr:rowOff>
    </xdr:from>
    <xdr:to>
      <xdr:col>20</xdr:col>
      <xdr:colOff>259080</xdr:colOff>
      <xdr:row>9</xdr:row>
      <xdr:rowOff>0</xdr:rowOff>
    </xdr:to>
    <xdr:sp macro="[0]!Reset_Gam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B5531C9-AEFC-4FF7-A836-E55FB756D580}"/>
            </a:ext>
          </a:extLst>
        </xdr:cNvPr>
        <xdr:cNvSpPr/>
      </xdr:nvSpPr>
      <xdr:spPr>
        <a:xfrm>
          <a:off x="12085320" y="1478280"/>
          <a:ext cx="1135380" cy="20574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 Game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[0]!Case1" textlink="">
      <xdr:nvSpPr>
        <xdr:cNvPr id="5" name="Rectangle 4">
          <a:extLst>
            <a:ext uri="{FF2B5EF4-FFF2-40B4-BE49-F238E27FC236}">
              <a16:creationId xmlns:a16="http://schemas.microsoft.com/office/drawing/2014/main" id="{0D170EFF-3C30-4D5F-B3F7-0234BEF282EB}"/>
            </a:ext>
          </a:extLst>
        </xdr:cNvPr>
        <xdr:cNvSpPr/>
      </xdr:nvSpPr>
      <xdr:spPr>
        <a:xfrm>
          <a:off x="3436620" y="3810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9</xdr:col>
      <xdr:colOff>0</xdr:colOff>
      <xdr:row>5</xdr:row>
      <xdr:rowOff>7620</xdr:rowOff>
    </xdr:to>
    <xdr:sp macro="[0]!Case2" textlink="">
      <xdr:nvSpPr>
        <xdr:cNvPr id="6" name="Rectangle 5">
          <a:extLst>
            <a:ext uri="{FF2B5EF4-FFF2-40B4-BE49-F238E27FC236}">
              <a16:creationId xmlns:a16="http://schemas.microsoft.com/office/drawing/2014/main" id="{B80CFED3-7970-4E18-8A06-D0172569A496}"/>
            </a:ext>
          </a:extLst>
        </xdr:cNvPr>
        <xdr:cNvSpPr/>
      </xdr:nvSpPr>
      <xdr:spPr>
        <a:xfrm>
          <a:off x="3436620" y="754380"/>
          <a:ext cx="185166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[0]!Case4" textlink="">
      <xdr:nvSpPr>
        <xdr:cNvPr id="7" name="Rectangle 6">
          <a:extLst>
            <a:ext uri="{FF2B5EF4-FFF2-40B4-BE49-F238E27FC236}">
              <a16:creationId xmlns:a16="http://schemas.microsoft.com/office/drawing/2014/main" id="{2E4C595F-947E-46C2-BD6A-A3823E0C67A2}"/>
            </a:ext>
          </a:extLst>
        </xdr:cNvPr>
        <xdr:cNvSpPr/>
      </xdr:nvSpPr>
      <xdr:spPr>
        <a:xfrm>
          <a:off x="3436620" y="1501140"/>
          <a:ext cx="1851660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[0]!Case3" textlink="">
      <xdr:nvSpPr>
        <xdr:cNvPr id="8" name="Rectangle 7">
          <a:extLst>
            <a:ext uri="{FF2B5EF4-FFF2-40B4-BE49-F238E27FC236}">
              <a16:creationId xmlns:a16="http://schemas.microsoft.com/office/drawing/2014/main" id="{14F09AC5-BB29-4BDE-823E-DFEEE4859A05}"/>
            </a:ext>
          </a:extLst>
        </xdr:cNvPr>
        <xdr:cNvSpPr/>
      </xdr:nvSpPr>
      <xdr:spPr>
        <a:xfrm>
          <a:off x="3436620" y="1120140"/>
          <a:ext cx="185166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12</xdr:row>
      <xdr:rowOff>0</xdr:rowOff>
    </xdr:to>
    <xdr:sp macro="[0]!Case5" textlink="">
      <xdr:nvSpPr>
        <xdr:cNvPr id="9" name="Rectangle 8">
          <a:extLst>
            <a:ext uri="{FF2B5EF4-FFF2-40B4-BE49-F238E27FC236}">
              <a16:creationId xmlns:a16="http://schemas.microsoft.com/office/drawing/2014/main" id="{38856C00-EBBB-4A5F-A396-2CAEC87DC93C}"/>
            </a:ext>
          </a:extLst>
        </xdr:cNvPr>
        <xdr:cNvSpPr/>
      </xdr:nvSpPr>
      <xdr:spPr>
        <a:xfrm>
          <a:off x="3436620" y="18669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23</xdr:row>
      <xdr:rowOff>175260</xdr:rowOff>
    </xdr:from>
    <xdr:to>
      <xdr:col>9</xdr:col>
      <xdr:colOff>0</xdr:colOff>
      <xdr:row>26</xdr:row>
      <xdr:rowOff>0</xdr:rowOff>
    </xdr:to>
    <xdr:sp macro="[0]!Case12" textlink="">
      <xdr:nvSpPr>
        <xdr:cNvPr id="10" name="Rectangle 9">
          <a:extLst>
            <a:ext uri="{FF2B5EF4-FFF2-40B4-BE49-F238E27FC236}">
              <a16:creationId xmlns:a16="http://schemas.microsoft.com/office/drawing/2014/main" id="{6B9CA3A3-6CA2-4E63-A766-192242DA453F}"/>
            </a:ext>
          </a:extLst>
        </xdr:cNvPr>
        <xdr:cNvSpPr/>
      </xdr:nvSpPr>
      <xdr:spPr>
        <a:xfrm>
          <a:off x="3436620" y="446532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9</xdr:col>
      <xdr:colOff>0</xdr:colOff>
      <xdr:row>14</xdr:row>
      <xdr:rowOff>0</xdr:rowOff>
    </xdr:to>
    <xdr:sp macro="[0]!Case6" textlink="">
      <xdr:nvSpPr>
        <xdr:cNvPr id="11" name="Rectangle 10">
          <a:extLst>
            <a:ext uri="{FF2B5EF4-FFF2-40B4-BE49-F238E27FC236}">
              <a16:creationId xmlns:a16="http://schemas.microsoft.com/office/drawing/2014/main" id="{498F288B-8765-4382-A622-43D3914C1952}"/>
            </a:ext>
          </a:extLst>
        </xdr:cNvPr>
        <xdr:cNvSpPr/>
      </xdr:nvSpPr>
      <xdr:spPr>
        <a:xfrm>
          <a:off x="3436620" y="2240280"/>
          <a:ext cx="1851660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594360</xdr:colOff>
      <xdr:row>14</xdr:row>
      <xdr:rowOff>0</xdr:rowOff>
    </xdr:from>
    <xdr:to>
      <xdr:col>8</xdr:col>
      <xdr:colOff>922020</xdr:colOff>
      <xdr:row>16</xdr:row>
      <xdr:rowOff>0</xdr:rowOff>
    </xdr:to>
    <xdr:sp macro="[0]!Case7" textlink="">
      <xdr:nvSpPr>
        <xdr:cNvPr id="12" name="Rectangle 11">
          <a:extLst>
            <a:ext uri="{FF2B5EF4-FFF2-40B4-BE49-F238E27FC236}">
              <a16:creationId xmlns:a16="http://schemas.microsoft.com/office/drawing/2014/main" id="{18222D73-C4D4-4813-BF2A-5D41382BF9A3}"/>
            </a:ext>
          </a:extLst>
        </xdr:cNvPr>
        <xdr:cNvSpPr/>
      </xdr:nvSpPr>
      <xdr:spPr>
        <a:xfrm>
          <a:off x="3421380" y="2606040"/>
          <a:ext cx="1851660" cy="388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15</xdr:row>
      <xdr:rowOff>198120</xdr:rowOff>
    </xdr:from>
    <xdr:to>
      <xdr:col>9</xdr:col>
      <xdr:colOff>0</xdr:colOff>
      <xdr:row>18</xdr:row>
      <xdr:rowOff>0</xdr:rowOff>
    </xdr:to>
    <xdr:sp macro="[0]!Case8" textlink="">
      <xdr:nvSpPr>
        <xdr:cNvPr id="13" name="Rectangle 12">
          <a:extLst>
            <a:ext uri="{FF2B5EF4-FFF2-40B4-BE49-F238E27FC236}">
              <a16:creationId xmlns:a16="http://schemas.microsoft.com/office/drawing/2014/main" id="{9BB9B256-C61D-4F6E-A4B8-462F9A80FB40}"/>
            </a:ext>
          </a:extLst>
        </xdr:cNvPr>
        <xdr:cNvSpPr/>
      </xdr:nvSpPr>
      <xdr:spPr>
        <a:xfrm>
          <a:off x="3436620" y="298704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18</xdr:row>
      <xdr:rowOff>0</xdr:rowOff>
    </xdr:from>
    <xdr:to>
      <xdr:col>9</xdr:col>
      <xdr:colOff>0</xdr:colOff>
      <xdr:row>20</xdr:row>
      <xdr:rowOff>0</xdr:rowOff>
    </xdr:to>
    <xdr:sp macro="[0]!Case9" textlink="">
      <xdr:nvSpPr>
        <xdr:cNvPr id="14" name="Rectangle 13">
          <a:extLst>
            <a:ext uri="{FF2B5EF4-FFF2-40B4-BE49-F238E27FC236}">
              <a16:creationId xmlns:a16="http://schemas.microsoft.com/office/drawing/2014/main" id="{064E0B2D-064B-4C77-88CA-8467CD44AFAE}"/>
            </a:ext>
          </a:extLst>
        </xdr:cNvPr>
        <xdr:cNvSpPr/>
      </xdr:nvSpPr>
      <xdr:spPr>
        <a:xfrm>
          <a:off x="3436620" y="3360420"/>
          <a:ext cx="1851660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9</xdr:col>
      <xdr:colOff>0</xdr:colOff>
      <xdr:row>22</xdr:row>
      <xdr:rowOff>0</xdr:rowOff>
    </xdr:to>
    <xdr:sp macro="[0]!Case10" textlink="">
      <xdr:nvSpPr>
        <xdr:cNvPr id="15" name="Rectangle 14">
          <a:extLst>
            <a:ext uri="{FF2B5EF4-FFF2-40B4-BE49-F238E27FC236}">
              <a16:creationId xmlns:a16="http://schemas.microsoft.com/office/drawing/2014/main" id="{81D5B8DF-C4C2-4F72-97A8-3D5A91592243}"/>
            </a:ext>
          </a:extLst>
        </xdr:cNvPr>
        <xdr:cNvSpPr/>
      </xdr:nvSpPr>
      <xdr:spPr>
        <a:xfrm>
          <a:off x="3436620" y="3726180"/>
          <a:ext cx="185166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21</xdr:row>
      <xdr:rowOff>182880</xdr:rowOff>
    </xdr:from>
    <xdr:to>
      <xdr:col>9</xdr:col>
      <xdr:colOff>0</xdr:colOff>
      <xdr:row>24</xdr:row>
      <xdr:rowOff>0</xdr:rowOff>
    </xdr:to>
    <xdr:sp macro="[0]!Case11" textlink="">
      <xdr:nvSpPr>
        <xdr:cNvPr id="16" name="Rectangle 15">
          <a:extLst>
            <a:ext uri="{FF2B5EF4-FFF2-40B4-BE49-F238E27FC236}">
              <a16:creationId xmlns:a16="http://schemas.microsoft.com/office/drawing/2014/main" id="{027D8A53-DA86-4A4D-8A50-DB5EEA95F4C0}"/>
            </a:ext>
          </a:extLst>
        </xdr:cNvPr>
        <xdr:cNvSpPr/>
      </xdr:nvSpPr>
      <xdr:spPr>
        <a:xfrm>
          <a:off x="3436620" y="409956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12</xdr:col>
      <xdr:colOff>0</xdr:colOff>
      <xdr:row>4</xdr:row>
      <xdr:rowOff>0</xdr:rowOff>
    </xdr:to>
    <xdr:sp macro="[0]!Case14" textlink="">
      <xdr:nvSpPr>
        <xdr:cNvPr id="17" name="Rectangle 16">
          <a:extLst>
            <a:ext uri="{FF2B5EF4-FFF2-40B4-BE49-F238E27FC236}">
              <a16:creationId xmlns:a16="http://schemas.microsoft.com/office/drawing/2014/main" id="{857FF8C9-1679-4854-9BD2-9DC3955D4E36}"/>
            </a:ext>
          </a:extLst>
        </xdr:cNvPr>
        <xdr:cNvSpPr/>
      </xdr:nvSpPr>
      <xdr:spPr>
        <a:xfrm>
          <a:off x="5288280" y="3810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9</xdr:col>
      <xdr:colOff>0</xdr:colOff>
      <xdr:row>28</xdr:row>
      <xdr:rowOff>0</xdr:rowOff>
    </xdr:to>
    <xdr:sp macro="[0]!Case13" textlink="">
      <xdr:nvSpPr>
        <xdr:cNvPr id="18" name="Rectangle 17">
          <a:extLst>
            <a:ext uri="{FF2B5EF4-FFF2-40B4-BE49-F238E27FC236}">
              <a16:creationId xmlns:a16="http://schemas.microsoft.com/office/drawing/2014/main" id="{1CE06ACA-451D-45A3-A17E-DCEEBCA5268C}"/>
            </a:ext>
          </a:extLst>
        </xdr:cNvPr>
        <xdr:cNvSpPr/>
      </xdr:nvSpPr>
      <xdr:spPr>
        <a:xfrm>
          <a:off x="3436620" y="48387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</xdr:row>
      <xdr:rowOff>175260</xdr:rowOff>
    </xdr:from>
    <xdr:to>
      <xdr:col>12</xdr:col>
      <xdr:colOff>0</xdr:colOff>
      <xdr:row>20</xdr:row>
      <xdr:rowOff>0</xdr:rowOff>
    </xdr:to>
    <xdr:sp macro="[0]!Case22" textlink="">
      <xdr:nvSpPr>
        <xdr:cNvPr id="19" name="Rectangle 18">
          <a:extLst>
            <a:ext uri="{FF2B5EF4-FFF2-40B4-BE49-F238E27FC236}">
              <a16:creationId xmlns:a16="http://schemas.microsoft.com/office/drawing/2014/main" id="{6AD9B8E3-BFCE-4F64-AD1E-8337DA0E764B}"/>
            </a:ext>
          </a:extLst>
        </xdr:cNvPr>
        <xdr:cNvSpPr/>
      </xdr:nvSpPr>
      <xdr:spPr>
        <a:xfrm>
          <a:off x="5288280" y="33528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12</xdr:col>
      <xdr:colOff>0</xdr:colOff>
      <xdr:row>6</xdr:row>
      <xdr:rowOff>0</xdr:rowOff>
    </xdr:to>
    <xdr:sp macro="[0]!Case15" textlink="">
      <xdr:nvSpPr>
        <xdr:cNvPr id="20" name="Rectangle 19">
          <a:extLst>
            <a:ext uri="{FF2B5EF4-FFF2-40B4-BE49-F238E27FC236}">
              <a16:creationId xmlns:a16="http://schemas.microsoft.com/office/drawing/2014/main" id="{0357A6CC-1B28-4160-96CE-60FBE5B04A2D}"/>
            </a:ext>
          </a:extLst>
        </xdr:cNvPr>
        <xdr:cNvSpPr/>
      </xdr:nvSpPr>
      <xdr:spPr>
        <a:xfrm>
          <a:off x="5288280" y="754380"/>
          <a:ext cx="1851660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5</xdr:row>
      <xdr:rowOff>175260</xdr:rowOff>
    </xdr:from>
    <xdr:to>
      <xdr:col>12</xdr:col>
      <xdr:colOff>0</xdr:colOff>
      <xdr:row>8</xdr:row>
      <xdr:rowOff>0</xdr:rowOff>
    </xdr:to>
    <xdr:sp macro="[0]!Case16" textlink="">
      <xdr:nvSpPr>
        <xdr:cNvPr id="21" name="Rectangle 20">
          <a:extLst>
            <a:ext uri="{FF2B5EF4-FFF2-40B4-BE49-F238E27FC236}">
              <a16:creationId xmlns:a16="http://schemas.microsoft.com/office/drawing/2014/main" id="{AEB46354-2DD1-4D82-81E2-69AB11137ADB}"/>
            </a:ext>
          </a:extLst>
        </xdr:cNvPr>
        <xdr:cNvSpPr/>
      </xdr:nvSpPr>
      <xdr:spPr>
        <a:xfrm>
          <a:off x="5288280" y="1112520"/>
          <a:ext cx="1851660" cy="388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7620</xdr:colOff>
      <xdr:row>7</xdr:row>
      <xdr:rowOff>190500</xdr:rowOff>
    </xdr:from>
    <xdr:to>
      <xdr:col>12</xdr:col>
      <xdr:colOff>7620</xdr:colOff>
      <xdr:row>10</xdr:row>
      <xdr:rowOff>0</xdr:rowOff>
    </xdr:to>
    <xdr:sp macro="[0]!Case17" textlink="">
      <xdr:nvSpPr>
        <xdr:cNvPr id="22" name="Rectangle 21">
          <a:extLst>
            <a:ext uri="{FF2B5EF4-FFF2-40B4-BE49-F238E27FC236}">
              <a16:creationId xmlns:a16="http://schemas.microsoft.com/office/drawing/2014/main" id="{3A529825-C86C-4E77-ABF5-403A460D8430}"/>
            </a:ext>
          </a:extLst>
        </xdr:cNvPr>
        <xdr:cNvSpPr/>
      </xdr:nvSpPr>
      <xdr:spPr>
        <a:xfrm>
          <a:off x="5295900" y="149352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12</xdr:col>
      <xdr:colOff>0</xdr:colOff>
      <xdr:row>12</xdr:row>
      <xdr:rowOff>0</xdr:rowOff>
    </xdr:to>
    <xdr:sp macro="[0]!Case18" textlink="">
      <xdr:nvSpPr>
        <xdr:cNvPr id="23" name="Rectangle 22">
          <a:extLst>
            <a:ext uri="{FF2B5EF4-FFF2-40B4-BE49-F238E27FC236}">
              <a16:creationId xmlns:a16="http://schemas.microsoft.com/office/drawing/2014/main" id="{8DFD5943-56EE-4FEB-A54E-64C20CBBAC98}"/>
            </a:ext>
          </a:extLst>
        </xdr:cNvPr>
        <xdr:cNvSpPr/>
      </xdr:nvSpPr>
      <xdr:spPr>
        <a:xfrm>
          <a:off x="5288280" y="18669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11</xdr:row>
      <xdr:rowOff>182880</xdr:rowOff>
    </xdr:from>
    <xdr:to>
      <xdr:col>12</xdr:col>
      <xdr:colOff>0</xdr:colOff>
      <xdr:row>14</xdr:row>
      <xdr:rowOff>0</xdr:rowOff>
    </xdr:to>
    <xdr:sp macro="[0]!Case19" textlink="">
      <xdr:nvSpPr>
        <xdr:cNvPr id="24" name="Rectangle 23">
          <a:extLst>
            <a:ext uri="{FF2B5EF4-FFF2-40B4-BE49-F238E27FC236}">
              <a16:creationId xmlns:a16="http://schemas.microsoft.com/office/drawing/2014/main" id="{E11810B6-E439-46CE-A836-6E19CABB0B60}"/>
            </a:ext>
          </a:extLst>
        </xdr:cNvPr>
        <xdr:cNvSpPr/>
      </xdr:nvSpPr>
      <xdr:spPr>
        <a:xfrm>
          <a:off x="5288280" y="223266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12</xdr:col>
      <xdr:colOff>0</xdr:colOff>
      <xdr:row>16</xdr:row>
      <xdr:rowOff>0</xdr:rowOff>
    </xdr:to>
    <xdr:sp macro="[0]!Case20" textlink="">
      <xdr:nvSpPr>
        <xdr:cNvPr id="25" name="Rectangle 24">
          <a:extLst>
            <a:ext uri="{FF2B5EF4-FFF2-40B4-BE49-F238E27FC236}">
              <a16:creationId xmlns:a16="http://schemas.microsoft.com/office/drawing/2014/main" id="{8262A2CC-6666-40CE-AD10-283D92007E6C}"/>
            </a:ext>
          </a:extLst>
        </xdr:cNvPr>
        <xdr:cNvSpPr/>
      </xdr:nvSpPr>
      <xdr:spPr>
        <a:xfrm>
          <a:off x="5288280" y="2606040"/>
          <a:ext cx="1851660" cy="388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15</xdr:row>
      <xdr:rowOff>198120</xdr:rowOff>
    </xdr:from>
    <xdr:to>
      <xdr:col>12</xdr:col>
      <xdr:colOff>0</xdr:colOff>
      <xdr:row>18</xdr:row>
      <xdr:rowOff>0</xdr:rowOff>
    </xdr:to>
    <xdr:sp macro="[0]!Case21" textlink="">
      <xdr:nvSpPr>
        <xdr:cNvPr id="26" name="Rectangle 25">
          <a:extLst>
            <a:ext uri="{FF2B5EF4-FFF2-40B4-BE49-F238E27FC236}">
              <a16:creationId xmlns:a16="http://schemas.microsoft.com/office/drawing/2014/main" id="{657B5B57-C516-4B54-88B5-6E09575DC14E}"/>
            </a:ext>
          </a:extLst>
        </xdr:cNvPr>
        <xdr:cNvSpPr/>
      </xdr:nvSpPr>
      <xdr:spPr>
        <a:xfrm>
          <a:off x="5288280" y="298704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12</xdr:col>
      <xdr:colOff>0</xdr:colOff>
      <xdr:row>22</xdr:row>
      <xdr:rowOff>0</xdr:rowOff>
    </xdr:to>
    <xdr:sp macro="[0]!Case23" textlink="">
      <xdr:nvSpPr>
        <xdr:cNvPr id="27" name="Rectangle 26">
          <a:extLst>
            <a:ext uri="{FF2B5EF4-FFF2-40B4-BE49-F238E27FC236}">
              <a16:creationId xmlns:a16="http://schemas.microsoft.com/office/drawing/2014/main" id="{AB657C42-19B6-4DC3-B792-ADD73284C2C8}"/>
            </a:ext>
          </a:extLst>
        </xdr:cNvPr>
        <xdr:cNvSpPr/>
      </xdr:nvSpPr>
      <xdr:spPr>
        <a:xfrm>
          <a:off x="5288280" y="3726180"/>
          <a:ext cx="185166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12</xdr:col>
      <xdr:colOff>0</xdr:colOff>
      <xdr:row>26</xdr:row>
      <xdr:rowOff>0</xdr:rowOff>
    </xdr:to>
    <xdr:sp macro="[0]!Case25" textlink="">
      <xdr:nvSpPr>
        <xdr:cNvPr id="28" name="Rectangle 27">
          <a:extLst>
            <a:ext uri="{FF2B5EF4-FFF2-40B4-BE49-F238E27FC236}">
              <a16:creationId xmlns:a16="http://schemas.microsoft.com/office/drawing/2014/main" id="{D9946E4B-A03A-4298-8E88-C260D8C031B4}"/>
            </a:ext>
          </a:extLst>
        </xdr:cNvPr>
        <xdr:cNvSpPr/>
      </xdr:nvSpPr>
      <xdr:spPr>
        <a:xfrm>
          <a:off x="5288280" y="4472940"/>
          <a:ext cx="1851660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12</xdr:col>
      <xdr:colOff>0</xdr:colOff>
      <xdr:row>24</xdr:row>
      <xdr:rowOff>0</xdr:rowOff>
    </xdr:to>
    <xdr:sp macro="[0]!Case24" textlink="">
      <xdr:nvSpPr>
        <xdr:cNvPr id="29" name="Rectangle 28">
          <a:extLst>
            <a:ext uri="{FF2B5EF4-FFF2-40B4-BE49-F238E27FC236}">
              <a16:creationId xmlns:a16="http://schemas.microsoft.com/office/drawing/2014/main" id="{9F463E2B-85BD-48FF-A46A-FA4E8367ED0B}"/>
            </a:ext>
          </a:extLst>
        </xdr:cNvPr>
        <xdr:cNvSpPr/>
      </xdr:nvSpPr>
      <xdr:spPr>
        <a:xfrm>
          <a:off x="5288280" y="4107180"/>
          <a:ext cx="1851660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12</xdr:col>
      <xdr:colOff>0</xdr:colOff>
      <xdr:row>28</xdr:row>
      <xdr:rowOff>0</xdr:rowOff>
    </xdr:to>
    <xdr:sp macro="[0]!Case26" textlink="">
      <xdr:nvSpPr>
        <xdr:cNvPr id="30" name="Rectangle 29">
          <a:extLst>
            <a:ext uri="{FF2B5EF4-FFF2-40B4-BE49-F238E27FC236}">
              <a16:creationId xmlns:a16="http://schemas.microsoft.com/office/drawing/2014/main" id="{3F9769A3-222A-49AB-9F7A-6693881AD20C}"/>
            </a:ext>
          </a:extLst>
        </xdr:cNvPr>
        <xdr:cNvSpPr/>
      </xdr:nvSpPr>
      <xdr:spPr>
        <a:xfrm>
          <a:off x="5288280" y="483870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175260</xdr:rowOff>
    </xdr:from>
    <xdr:to>
      <xdr:col>9</xdr:col>
      <xdr:colOff>0</xdr:colOff>
      <xdr:row>6</xdr:row>
      <xdr:rowOff>0</xdr:rowOff>
    </xdr:to>
    <xdr:sp macro="[0]!Case2" textlink="">
      <xdr:nvSpPr>
        <xdr:cNvPr id="32" name="Rectangle 31">
          <a:extLst>
            <a:ext uri="{FF2B5EF4-FFF2-40B4-BE49-F238E27FC236}">
              <a16:creationId xmlns:a16="http://schemas.microsoft.com/office/drawing/2014/main" id="{F40E432E-AA31-402E-B9EE-9D89C9579D72}"/>
            </a:ext>
          </a:extLst>
        </xdr:cNvPr>
        <xdr:cNvSpPr/>
      </xdr:nvSpPr>
      <xdr:spPr>
        <a:xfrm>
          <a:off x="3436620" y="746760"/>
          <a:ext cx="1851660" cy="373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15</xdr:row>
      <xdr:rowOff>0</xdr:rowOff>
    </xdr:from>
    <xdr:to>
      <xdr:col>17</xdr:col>
      <xdr:colOff>0</xdr:colOff>
      <xdr:row>16</xdr:row>
      <xdr:rowOff>0</xdr:rowOff>
    </xdr:to>
    <xdr:sp macro="[0]!Reject_Offer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AF54B8F4-D5A5-4770-A919-B44AD5EBE6B3}"/>
            </a:ext>
          </a:extLst>
        </xdr:cNvPr>
        <xdr:cNvSpPr/>
      </xdr:nvSpPr>
      <xdr:spPr>
        <a:xfrm>
          <a:off x="10081260" y="2788920"/>
          <a:ext cx="1127760" cy="205740"/>
        </a:xfrm>
        <a:prstGeom prst="roundRect">
          <a:avLst/>
        </a:prstGeom>
        <a:solidFill>
          <a:srgbClr val="FF8585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Reject Offer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0E437-AC6D-4444-9047-3C382452F4BA}">
  <sheetPr codeName="Sheet1"/>
  <dimension ref="B1:T28"/>
  <sheetViews>
    <sheetView showGridLines="0" tabSelected="1" workbookViewId="0">
      <selection activeCell="C23" sqref="C23"/>
    </sheetView>
  </sheetViews>
  <sheetFormatPr defaultRowHeight="14.4" x14ac:dyDescent="0.3"/>
  <cols>
    <col min="1" max="1" width="1.88671875" style="2" customWidth="1"/>
    <col min="2" max="2" width="9" style="2" bestFit="1" customWidth="1"/>
    <col min="3" max="3" width="9" style="2" customWidth="1"/>
    <col min="4" max="4" width="12.44140625" style="2" bestFit="1" customWidth="1"/>
    <col min="5" max="5" width="8.88671875" style="2"/>
    <col min="6" max="6" width="8.88671875" style="2" customWidth="1"/>
    <col min="7" max="7" width="4.44140625" style="2" customWidth="1"/>
    <col min="8" max="8" width="8.88671875" style="2"/>
    <col min="9" max="9" width="13.6640625" style="2" bestFit="1" customWidth="1"/>
    <col min="10" max="10" width="4.44140625" style="2" customWidth="1"/>
    <col min="11" max="11" width="8.88671875" style="2"/>
    <col min="12" max="12" width="13.6640625" style="2" bestFit="1" customWidth="1"/>
    <col min="13" max="14" width="8.88671875" style="2" customWidth="1"/>
    <col min="15" max="15" width="16.44140625" style="2" bestFit="1" customWidth="1"/>
    <col min="16" max="16" width="8.6640625" style="2" customWidth="1"/>
    <col min="17" max="17" width="16.44140625" style="2" customWidth="1"/>
    <col min="18" max="18" width="4.5546875" style="2" customWidth="1"/>
    <col min="19" max="19" width="8.88671875" style="2"/>
    <col min="20" max="20" width="12.109375" style="2" bestFit="1" customWidth="1"/>
    <col min="21" max="16384" width="8.88671875" style="2"/>
  </cols>
  <sheetData>
    <row r="1" spans="2:20" ht="15" thickBot="1" x14ac:dyDescent="0.35"/>
    <row r="2" spans="2:20" ht="15" thickBot="1" x14ac:dyDescent="0.35">
      <c r="B2" s="28" t="s">
        <v>41</v>
      </c>
      <c r="C2" s="29"/>
      <c r="D2" s="29"/>
      <c r="E2" s="30"/>
      <c r="G2" s="3"/>
      <c r="H2" s="3"/>
      <c r="I2" s="3"/>
      <c r="J2" s="3"/>
      <c r="K2" s="3"/>
      <c r="L2" s="3"/>
      <c r="O2" s="15" t="s">
        <v>32</v>
      </c>
      <c r="P2" s="16">
        <f>IF(R2&lt;6,1,IF(R2&lt;11,2,IF(R2&lt;15,3,IF(R2&lt;18,4,IF(R2&lt;20,5,12-R3)))))</f>
        <v>2</v>
      </c>
      <c r="Q2" s="13" t="s">
        <v>31</v>
      </c>
      <c r="R2" s="19">
        <f>SUM(COUNTA(G3:G27),COUNTA(J3:J27))</f>
        <v>6</v>
      </c>
    </row>
    <row r="3" spans="2:20" ht="15" thickBot="1" x14ac:dyDescent="0.35">
      <c r="B3" s="31"/>
      <c r="C3" s="32"/>
      <c r="D3" s="32"/>
      <c r="E3" s="33"/>
      <c r="G3" s="40"/>
      <c r="H3" s="44" t="s">
        <v>4</v>
      </c>
      <c r="I3" s="46">
        <f ca="1">IF(AND(OR(ISBLANK(G3),_xlfn.CONCAT("Case ",$C$22,":")=H3,$C$22=""),NOT($O$16="X")),"",VLOOKUP(_xlfn.NUMBERVALUE(MID(H3,6,1)),'Case Values'!$A$1:$B$26,2,FALSE))</f>
        <v>1000</v>
      </c>
      <c r="J3" s="43"/>
      <c r="K3" s="44" t="s">
        <v>5</v>
      </c>
      <c r="L3" s="55">
        <f ca="1">IF(AND(OR(ISBLANK(J3),_xlfn.CONCAT("Case ",$C$22,":")=K3,$C$22=""),NOT($O$16="X")),"",VLOOKUP(_xlfn.NUMBERVALUE(MID(K3,6,2)),'Case Values'!$A$1:$B$26,2,FALSE))</f>
        <v>50</v>
      </c>
      <c r="O3" s="17" t="s">
        <v>34</v>
      </c>
      <c r="P3" s="18">
        <f>VLOOKUP(P2,Program!I2:K13,3)-R2</f>
        <v>5</v>
      </c>
      <c r="Q3" s="14" t="s">
        <v>30</v>
      </c>
      <c r="R3" s="20">
        <f>26-R2</f>
        <v>20</v>
      </c>
    </row>
    <row r="4" spans="2:20" x14ac:dyDescent="0.3">
      <c r="B4" s="5">
        <f ca="1">IF(Program!B1="",Program!A1,"")</f>
        <v>0.01</v>
      </c>
      <c r="C4" s="6"/>
      <c r="D4" s="7">
        <f ca="1">IF(Program!D1="",Program!C1,"")</f>
        <v>1000</v>
      </c>
      <c r="E4" s="8"/>
      <c r="G4" s="41"/>
      <c r="H4" s="45"/>
      <c r="I4" s="47"/>
      <c r="J4" s="42"/>
      <c r="K4" s="45"/>
      <c r="L4" s="53"/>
    </row>
    <row r="5" spans="2:20" x14ac:dyDescent="0.3">
      <c r="B5" s="5">
        <f ca="1">IF(Program!B2="",Program!A2,"")</f>
        <v>1</v>
      </c>
      <c r="C5" s="6"/>
      <c r="D5" s="7">
        <f ca="1">IF(Program!D2="",Program!C2,"")</f>
        <v>5000</v>
      </c>
      <c r="E5" s="8"/>
      <c r="G5" s="41" t="s">
        <v>54</v>
      </c>
      <c r="H5" s="45" t="s">
        <v>18</v>
      </c>
      <c r="I5" s="47">
        <f ca="1">IF(AND(OR(ISBLANK(G5),_xlfn.CONCAT("Case ",$C$22,":")=H5,$C$22=""),NOT($O$16="X")),"",VLOOKUP(_xlfn.NUMBERVALUE(MID(H5,6,1)),'Case Values'!$A$1:$B$26,2,FALSE))</f>
        <v>100</v>
      </c>
      <c r="J5" s="42"/>
      <c r="K5" s="45" t="s">
        <v>6</v>
      </c>
      <c r="L5" s="53">
        <f ca="1">IF(AND(OR(ISBLANK(J5),_xlfn.CONCAT("Case ",$C$22,":")=K5,$C$22=""),NOT($O$16="X")),"",VLOOKUP(_xlfn.NUMBERVALUE(MID(K5,6,2)),'Case Values'!$A$1:$B$26,2,FALSE))</f>
        <v>400</v>
      </c>
    </row>
    <row r="6" spans="2:20" x14ac:dyDescent="0.3">
      <c r="B6" s="5">
        <f ca="1">IF(Program!B3="",Program!A3,"")</f>
        <v>5</v>
      </c>
      <c r="C6" s="6"/>
      <c r="D6" s="7">
        <f ca="1">IF(Program!D3="",Program!C3,"")</f>
        <v>10000</v>
      </c>
      <c r="E6" s="8"/>
      <c r="G6" s="41"/>
      <c r="H6" s="45"/>
      <c r="I6" s="47"/>
      <c r="J6" s="42"/>
      <c r="K6" s="45"/>
      <c r="L6" s="53"/>
    </row>
    <row r="7" spans="2:20" x14ac:dyDescent="0.3">
      <c r="B7" s="5">
        <f ca="1">IF(Program!B4="",Program!A4,"")</f>
        <v>10</v>
      </c>
      <c r="C7" s="6"/>
      <c r="D7" s="7" t="str">
        <f ca="1">IF(Program!D4="",Program!C4,"")</f>
        <v/>
      </c>
      <c r="E7" s="8"/>
      <c r="G7" s="41" t="s">
        <v>54</v>
      </c>
      <c r="H7" s="45" t="s">
        <v>19</v>
      </c>
      <c r="I7" s="47">
        <f ca="1">IF(AND(OR(ISBLANK(G7),_xlfn.CONCAT("Case ",$C$22,":")=H7,$C$22=""),NOT($O$16="X")),"",VLOOKUP(_xlfn.NUMBERVALUE(MID(H7,6,1)),'Case Values'!$A$1:$B$26,2,FALSE))</f>
        <v>25</v>
      </c>
      <c r="J7" s="42"/>
      <c r="K7" s="45" t="s">
        <v>7</v>
      </c>
      <c r="L7" s="53">
        <f ca="1">IF(AND(OR(ISBLANK(J7),_xlfn.CONCAT("Case ",$C$22,":")=K7,$C$22=""),NOT($O$16="X")),"",VLOOKUP(_xlfn.NUMBERVALUE(MID(K7,6,2)),'Case Values'!$A$1:$B$26,2,FALSE))</f>
        <v>400000</v>
      </c>
    </row>
    <row r="8" spans="2:20" ht="15.6" x14ac:dyDescent="0.3">
      <c r="B8" s="5" t="str">
        <f ca="1">IF(Program!B5="",Program!A5,"")</f>
        <v/>
      </c>
      <c r="C8" s="6"/>
      <c r="D8" s="7">
        <f ca="1">IF(Program!D5="",Program!C5,"")</f>
        <v>50000</v>
      </c>
      <c r="E8" s="8"/>
      <c r="G8" s="41"/>
      <c r="H8" s="45"/>
      <c r="I8" s="47"/>
      <c r="J8" s="42"/>
      <c r="K8" s="45"/>
      <c r="L8" s="53"/>
      <c r="T8" s="23"/>
    </row>
    <row r="9" spans="2:20" x14ac:dyDescent="0.3">
      <c r="B9" s="5">
        <f ca="1">IF(Program!B6="",Program!A6,"")</f>
        <v>50</v>
      </c>
      <c r="C9" s="6"/>
      <c r="D9" s="7">
        <f ca="1">IF(Program!D6="",Program!C6,"")</f>
        <v>75000</v>
      </c>
      <c r="E9" s="8"/>
      <c r="G9" s="41" t="s">
        <v>54</v>
      </c>
      <c r="H9" s="45" t="s">
        <v>20</v>
      </c>
      <c r="I9" s="47">
        <f ca="1">IF(AND(OR(ISBLANK(G9),_xlfn.CONCAT("Case ",$C$22,":")=H9,$C$22=""),NOT($O$16="X")),"",VLOOKUP(_xlfn.NUMBERVALUE(MID(H9,6,1)),'Case Values'!$A$1:$B$26,2,FALSE))</f>
        <v>25000</v>
      </c>
      <c r="J9" s="42"/>
      <c r="K9" s="45" t="s">
        <v>8</v>
      </c>
      <c r="L9" s="53">
        <f ca="1">IF(AND(OR(ISBLANK(J9),_xlfn.CONCAT("Case ",$C$22,":")=K9,$C$22=""),NOT($O$16="X")),"",VLOOKUP(_xlfn.NUMBERVALUE(MID(K9,6,2)),'Case Values'!$A$1:$B$26,2,FALSE))</f>
        <v>500000</v>
      </c>
    </row>
    <row r="10" spans="2:20" x14ac:dyDescent="0.3">
      <c r="B10" s="5">
        <f ca="1">IF(Program!B7="",Program!A7,"")</f>
        <v>75</v>
      </c>
      <c r="C10" s="6"/>
      <c r="D10" s="7" t="str">
        <f ca="1">IF(Program!D7="",Program!C7,"")</f>
        <v/>
      </c>
      <c r="E10" s="8"/>
      <c r="G10" s="41"/>
      <c r="H10" s="45"/>
      <c r="I10" s="47"/>
      <c r="J10" s="42"/>
      <c r="K10" s="45"/>
      <c r="L10" s="53"/>
    </row>
    <row r="11" spans="2:20" ht="14.4" customHeight="1" x14ac:dyDescent="0.3">
      <c r="B11" s="5" t="str">
        <f ca="1">IF(Program!B8="",Program!A8,"")</f>
        <v/>
      </c>
      <c r="C11" s="6"/>
      <c r="D11" s="7">
        <f ca="1">IF(Program!D8="",Program!C8,"")</f>
        <v>200000</v>
      </c>
      <c r="E11" s="8"/>
      <c r="G11" s="41" t="s">
        <v>54</v>
      </c>
      <c r="H11" s="45" t="s">
        <v>21</v>
      </c>
      <c r="I11" s="47">
        <f ca="1">IF(AND(OR(ISBLANK(G11),_xlfn.CONCAT("Case ",$C$22,":")=H11,$C$22=""),NOT($O$16="X")),"",VLOOKUP(_xlfn.NUMBERVALUE(MID(H11,6,1)),'Case Values'!$A$1:$B$26,2,FALSE))</f>
        <v>750000</v>
      </c>
      <c r="J11" s="42"/>
      <c r="K11" s="45" t="s">
        <v>9</v>
      </c>
      <c r="L11" s="53">
        <f ca="1">IF(AND(OR(ISBLANK(J11),_xlfn.CONCAT("Case ",$C$22,":")=K11,$C$22=""),NOT($O$16="X")),"",VLOOKUP(_xlfn.NUMBERVALUE(MID(K11,6,2)),'Case Values'!$A$1:$B$26,2,FALSE))</f>
        <v>5000</v>
      </c>
      <c r="O11" s="32" t="str">
        <f>IF(OR(AND(P2=11,P3=0),O16="X"),"You Won:","Current Offer:")</f>
        <v>You Won:</v>
      </c>
      <c r="P11" s="34">
        <f ca="1">IF(Q16="X","",IF(AND(P2=11,P3=0),VLOOKUP(C22,'Case Values'!$A$1:$B$26,2,FALSE),IF(OR(AND(P2=2,P3=5),AND(P2=3,P3=4),AND(P2=4,P3=3),AND(P2=5,P3=2),AND(P2=6,P3=1),AND(P2=7,P3=1),AND(P2=8,P3=1),AND(P2=9,P3=1),AND(P2=10,P3=1)),Program!G8,"")))</f>
        <v>55101</v>
      </c>
      <c r="Q11" s="35"/>
    </row>
    <row r="12" spans="2:20" ht="15" customHeight="1" x14ac:dyDescent="0.3">
      <c r="B12" s="5" t="str">
        <f ca="1">IF(Program!B9="",Program!A9,"")</f>
        <v/>
      </c>
      <c r="C12" s="6"/>
      <c r="D12" s="7">
        <f ca="1">IF(Program!D9="",Program!C9,"")</f>
        <v>300000</v>
      </c>
      <c r="E12" s="8"/>
      <c r="G12" s="41"/>
      <c r="H12" s="45"/>
      <c r="I12" s="47"/>
      <c r="J12" s="42"/>
      <c r="K12" s="45"/>
      <c r="L12" s="53"/>
      <c r="O12" s="32"/>
      <c r="P12" s="36"/>
      <c r="Q12" s="37"/>
    </row>
    <row r="13" spans="2:20" x14ac:dyDescent="0.3">
      <c r="B13" s="5">
        <f ca="1">IF(Program!B10="",Program!A10,"")</f>
        <v>300</v>
      </c>
      <c r="C13" s="6"/>
      <c r="D13" s="7">
        <f ca="1">IF(Program!D10="",Program!C10,"")</f>
        <v>400000</v>
      </c>
      <c r="E13" s="8"/>
      <c r="G13" s="41" t="s">
        <v>54</v>
      </c>
      <c r="H13" s="45" t="s">
        <v>22</v>
      </c>
      <c r="I13" s="47">
        <f ca="1">IF(AND(OR(ISBLANK(G13),_xlfn.CONCAT("Case ",$C$22,":")=H13,$C$22=""),NOT($O$16="X")),"",VLOOKUP(_xlfn.NUMBERVALUE(MID(H13,6,1)),'Case Values'!$A$1:$B$26,2,FALSE))</f>
        <v>100000</v>
      </c>
      <c r="J13" s="42"/>
      <c r="K13" s="45" t="s">
        <v>10</v>
      </c>
      <c r="L13" s="53">
        <f ca="1">IF(AND(OR(ISBLANK(J13),_xlfn.CONCAT("Case ",$C$22,":")=K13,$C$22=""),NOT($O$16="X")),"",VLOOKUP(_xlfn.NUMBERVALUE(MID(K13,6,2)),'Case Values'!$A$1:$B$26,2,FALSE))</f>
        <v>75</v>
      </c>
      <c r="N13" s="2" t="s">
        <v>33</v>
      </c>
      <c r="O13" s="38" t="str">
        <f>IF(O16="X","Case Value: ","")</f>
        <v xml:space="preserve">Case Value: </v>
      </c>
      <c r="P13" s="39">
        <f ca="1">IF(O16="X",VLOOKUP(C22,'Case Values'!A1:B26,2),"")</f>
        <v>1000</v>
      </c>
      <c r="Q13" s="39"/>
    </row>
    <row r="14" spans="2:20" x14ac:dyDescent="0.3">
      <c r="B14" s="5">
        <f ca="1">IF(Program!B11="",Program!A11,"")</f>
        <v>400</v>
      </c>
      <c r="C14" s="6"/>
      <c r="D14" s="7">
        <f ca="1">IF(Program!D11="",Program!C11,"")</f>
        <v>500000</v>
      </c>
      <c r="E14" s="8"/>
      <c r="G14" s="41"/>
      <c r="H14" s="45"/>
      <c r="I14" s="47"/>
      <c r="J14" s="42"/>
      <c r="K14" s="45"/>
      <c r="L14" s="53"/>
      <c r="O14" s="38"/>
      <c r="P14" s="39"/>
      <c r="Q14" s="39"/>
    </row>
    <row r="15" spans="2:20" x14ac:dyDescent="0.3">
      <c r="B15" s="5">
        <f ca="1">IF(Program!B12="",Program!A12,"")</f>
        <v>500</v>
      </c>
      <c r="C15" s="6"/>
      <c r="D15" s="7" t="str">
        <f ca="1">IF(Program!D12="",Program!C12,"")</f>
        <v/>
      </c>
      <c r="E15" s="8"/>
      <c r="G15" s="41" t="s">
        <v>54</v>
      </c>
      <c r="H15" s="45" t="s">
        <v>23</v>
      </c>
      <c r="I15" s="47">
        <f ca="1">IF(AND(OR(ISBLANK(G15),_xlfn.CONCAT("Case ",$C$22,":")=H15,$C$22=""),NOT($O$16="X")),"",VLOOKUP(_xlfn.NUMBERVALUE(MID(H15,6,1)),'Case Values'!$A$1:$B$26,2,FALSE))</f>
        <v>200</v>
      </c>
      <c r="J15" s="42"/>
      <c r="K15" s="45" t="s">
        <v>11</v>
      </c>
      <c r="L15" s="53">
        <f ca="1">IF(AND(OR(ISBLANK(J15),_xlfn.CONCAT("Case ",$C$22,":")=K15,$C$22=""),NOT($O$16="X")),"",VLOOKUP(_xlfn.NUMBERVALUE(MID(K15,6,2)),'Case Values'!$A$1:$B$26,2,FALSE))</f>
        <v>75000</v>
      </c>
      <c r="O15" s="3"/>
    </row>
    <row r="16" spans="2:20" ht="16.2" thickBot="1" x14ac:dyDescent="0.35">
      <c r="B16" s="9">
        <f ca="1">IF(Program!B13="",Program!A13,"")</f>
        <v>750</v>
      </c>
      <c r="C16" s="10"/>
      <c r="D16" s="11">
        <f ca="1">IF(Program!D13="",Program!C13,"")</f>
        <v>1000000</v>
      </c>
      <c r="E16" s="12"/>
      <c r="G16" s="41"/>
      <c r="H16" s="45"/>
      <c r="I16" s="47"/>
      <c r="J16" s="42"/>
      <c r="K16" s="45"/>
      <c r="L16" s="53"/>
      <c r="O16" s="22" t="s">
        <v>55</v>
      </c>
      <c r="Q16" s="22"/>
    </row>
    <row r="17" spans="2:17" x14ac:dyDescent="0.3">
      <c r="G17" s="41"/>
      <c r="H17" s="45" t="s">
        <v>24</v>
      </c>
      <c r="I17" s="47">
        <f ca="1">IF(AND(OR(ISBLANK(G17),_xlfn.CONCAT("Case ",$C$22,":")=H17,$C$22=""),NOT($O$16="X")),"",VLOOKUP(_xlfn.NUMBERVALUE(MID(H17,6,1)),'Case Values'!$A$1:$B$26,2,FALSE))</f>
        <v>1000000</v>
      </c>
      <c r="J17" s="42"/>
      <c r="K17" s="45" t="s">
        <v>12</v>
      </c>
      <c r="L17" s="53">
        <f ca="1">IF(AND(OR(ISBLANK(J17),_xlfn.CONCAT("Case ",$C$22,":")=K17,$C$22=""),NOT($O$16="X")),"",VLOOKUP(_xlfn.NUMBERVALUE(MID(K17,6,2)),'Case Values'!$A$1:$B$26,2,FALSE))</f>
        <v>10</v>
      </c>
      <c r="O17" s="3"/>
    </row>
    <row r="18" spans="2:17" ht="15" thickBot="1" x14ac:dyDescent="0.35">
      <c r="G18" s="41"/>
      <c r="H18" s="45"/>
      <c r="I18" s="47"/>
      <c r="J18" s="42"/>
      <c r="K18" s="45"/>
      <c r="L18" s="53"/>
      <c r="Q18" s="27"/>
    </row>
    <row r="19" spans="2:17" x14ac:dyDescent="0.3">
      <c r="B19" s="4"/>
      <c r="F19" s="2" t="s">
        <v>33</v>
      </c>
      <c r="G19" s="41"/>
      <c r="H19" s="45" t="s">
        <v>25</v>
      </c>
      <c r="I19" s="47">
        <f ca="1">IF(AND(OR(ISBLANK(G19),_xlfn.CONCAT("Case ",$C$22,":")=H19,$C$22=""),NOT($O$16="X")),"",VLOOKUP(_xlfn.NUMBERVALUE(MID(H19,6,1)),'Case Values'!$A$1:$B$26,2,FALSE))</f>
        <v>5</v>
      </c>
      <c r="J19" s="42"/>
      <c r="K19" s="45" t="s">
        <v>13</v>
      </c>
      <c r="L19" s="53">
        <f ca="1">IF(AND(OR(ISBLANK(J19),_xlfn.CONCAT("Case ",$C$22,":")=K19,$C$22=""),NOT($O$16="X")),"",VLOOKUP(_xlfn.NUMBERVALUE(MID(K19,6,2)),'Case Values'!$A$1:$B$26,2,FALSE))</f>
        <v>500</v>
      </c>
      <c r="O19" s="15" t="s">
        <v>44</v>
      </c>
      <c r="P19" s="60">
        <v>26244</v>
      </c>
      <c r="Q19" s="61"/>
    </row>
    <row r="20" spans="2:17" x14ac:dyDescent="0.3">
      <c r="G20" s="41"/>
      <c r="H20" s="45"/>
      <c r="I20" s="47"/>
      <c r="J20" s="42"/>
      <c r="K20" s="45"/>
      <c r="L20" s="53"/>
      <c r="O20" s="26" t="s">
        <v>45</v>
      </c>
      <c r="P20" s="58"/>
      <c r="Q20" s="59"/>
    </row>
    <row r="21" spans="2:17" ht="15" thickBot="1" x14ac:dyDescent="0.35">
      <c r="G21" s="41"/>
      <c r="H21" s="45" t="s">
        <v>26</v>
      </c>
      <c r="I21" s="47">
        <f ca="1">IF(AND(OR(ISBLANK(G21),_xlfn.CONCAT("Case ",$C$22,":")=H21,$C$22=""),NOT($O$16="X")),"",VLOOKUP(_xlfn.NUMBERVALUE(MID(H21,6,2)),'Case Values'!$A$1:$B$26,2,FALSE))</f>
        <v>1</v>
      </c>
      <c r="J21" s="42"/>
      <c r="K21" s="45" t="s">
        <v>14</v>
      </c>
      <c r="L21" s="53">
        <f ca="1">IF(AND(OR(ISBLANK(J21),_xlfn.CONCAT("Case ",$C$22,":")=K21,$C$22=""),NOT($O$16="X")),"",VLOOKUP(_xlfn.NUMBERVALUE(MID(K21,6,2)),'Case Values'!$A$1:$B$26,2,FALSE))</f>
        <v>50000</v>
      </c>
      <c r="O21" s="26" t="s">
        <v>46</v>
      </c>
      <c r="P21" s="58"/>
      <c r="Q21" s="59"/>
    </row>
    <row r="22" spans="2:17" ht="15" thickBot="1" x14ac:dyDescent="0.35">
      <c r="B22" s="24" t="s">
        <v>42</v>
      </c>
      <c r="C22" s="21">
        <v>1</v>
      </c>
      <c r="G22" s="41"/>
      <c r="H22" s="45"/>
      <c r="I22" s="47"/>
      <c r="J22" s="42"/>
      <c r="K22" s="45"/>
      <c r="L22" s="53"/>
      <c r="O22" s="26" t="s">
        <v>47</v>
      </c>
      <c r="P22" s="58"/>
      <c r="Q22" s="59"/>
    </row>
    <row r="23" spans="2:17" x14ac:dyDescent="0.3">
      <c r="G23" s="41"/>
      <c r="H23" s="45" t="s">
        <v>27</v>
      </c>
      <c r="I23" s="47">
        <f ca="1">IF(AND(OR(ISBLANK(G23),_xlfn.CONCAT("Case ",$C$22,":")=H23,$C$22=""),NOT($O$16="X")),"",VLOOKUP(_xlfn.NUMBERVALUE(MID(H23,6,2)),'Case Values'!$A$1:$B$26,2,FALSE))</f>
        <v>10000</v>
      </c>
      <c r="J23" s="42"/>
      <c r="K23" s="45" t="s">
        <v>15</v>
      </c>
      <c r="L23" s="53">
        <f ca="1">IF(AND(OR(ISBLANK(J23),_xlfn.CONCAT("Case ",$C$22,":")=K23,$C$22=""),NOT($O$16="X")),"",VLOOKUP(_xlfn.NUMBERVALUE(MID(K23,6,2)),'Case Values'!$A$1:$B$26,2,FALSE))</f>
        <v>200000</v>
      </c>
      <c r="O23" s="26" t="s">
        <v>48</v>
      </c>
      <c r="P23" s="58"/>
      <c r="Q23" s="59"/>
    </row>
    <row r="24" spans="2:17" x14ac:dyDescent="0.3">
      <c r="G24" s="41"/>
      <c r="H24" s="45"/>
      <c r="I24" s="47"/>
      <c r="J24" s="42"/>
      <c r="K24" s="45"/>
      <c r="L24" s="53"/>
      <c r="O24" s="26" t="s">
        <v>49</v>
      </c>
      <c r="P24" s="58"/>
      <c r="Q24" s="59"/>
    </row>
    <row r="25" spans="2:17" x14ac:dyDescent="0.3">
      <c r="G25" s="41"/>
      <c r="H25" s="45" t="s">
        <v>28</v>
      </c>
      <c r="I25" s="47">
        <f ca="1">IF(AND(OR(ISBLANK(G25),_xlfn.CONCAT("Case ",$C$22,":")=H25,$C$22=""),NOT($O$16="X")),"",VLOOKUP(_xlfn.NUMBERVALUE(MID(H25,6,2)),'Case Values'!$A$1:$B$26,2,FALSE))</f>
        <v>0.01</v>
      </c>
      <c r="J25" s="42"/>
      <c r="K25" s="45" t="s">
        <v>16</v>
      </c>
      <c r="L25" s="53">
        <f ca="1">IF(AND(OR(ISBLANK(J25),_xlfn.CONCAT("Case ",$C$22,":")=K25,$C$22=""),NOT($O$16="X")),"",VLOOKUP(_xlfn.NUMBERVALUE(MID(K25,6,2)),'Case Values'!$A$1:$B$26,2,FALSE))</f>
        <v>300000</v>
      </c>
      <c r="O25" s="26" t="s">
        <v>50</v>
      </c>
      <c r="P25" s="58"/>
      <c r="Q25" s="59"/>
    </row>
    <row r="26" spans="2:17" x14ac:dyDescent="0.3">
      <c r="G26" s="41"/>
      <c r="H26" s="45"/>
      <c r="I26" s="47"/>
      <c r="J26" s="42"/>
      <c r="K26" s="45"/>
      <c r="L26" s="53"/>
      <c r="O26" s="26" t="s">
        <v>51</v>
      </c>
      <c r="P26" s="58"/>
      <c r="Q26" s="59"/>
    </row>
    <row r="27" spans="2:17" x14ac:dyDescent="0.3">
      <c r="G27" s="41"/>
      <c r="H27" s="45" t="s">
        <v>29</v>
      </c>
      <c r="I27" s="47">
        <f ca="1">IF(AND(OR(ISBLANK(G27),_xlfn.CONCAT("Case ",$C$22,":")=H27,$C$22=""),NOT($O$16="X")),"",VLOOKUP(_xlfn.NUMBERVALUE(MID(H27,6,2)),'Case Values'!$A$1:$B$26,2,FALSE))</f>
        <v>300</v>
      </c>
      <c r="J27" s="51"/>
      <c r="K27" s="45" t="s">
        <v>17</v>
      </c>
      <c r="L27" s="53">
        <f ca="1">IF(AND(OR(ISBLANK(J27),_xlfn.CONCAT("Case ",$C$22,":")=K27,$C$22=""),NOT($O$16="X")),"",VLOOKUP(_xlfn.NUMBERVALUE(MID(K27,6,2)),'Case Values'!$A$1:$B$26,2,FALSE))</f>
        <v>750</v>
      </c>
      <c r="O27" s="26" t="s">
        <v>52</v>
      </c>
      <c r="P27" s="58"/>
      <c r="Q27" s="59"/>
    </row>
    <row r="28" spans="2:17" ht="15" thickBot="1" x14ac:dyDescent="0.35">
      <c r="G28" s="50"/>
      <c r="H28" s="49"/>
      <c r="I28" s="48"/>
      <c r="J28" s="52"/>
      <c r="K28" s="49"/>
      <c r="L28" s="54"/>
      <c r="O28" s="17" t="s">
        <v>53</v>
      </c>
      <c r="P28" s="56"/>
      <c r="Q28" s="57"/>
    </row>
  </sheetData>
  <mergeCells count="93">
    <mergeCell ref="K3:K4"/>
    <mergeCell ref="L3:L4"/>
    <mergeCell ref="P28:Q28"/>
    <mergeCell ref="P27:Q27"/>
    <mergeCell ref="P26:Q26"/>
    <mergeCell ref="P25:Q25"/>
    <mergeCell ref="P24:Q24"/>
    <mergeCell ref="P23:Q23"/>
    <mergeCell ref="P22:Q22"/>
    <mergeCell ref="P21:Q21"/>
    <mergeCell ref="P20:Q20"/>
    <mergeCell ref="P19:Q19"/>
    <mergeCell ref="L9:L10"/>
    <mergeCell ref="K9:K10"/>
    <mergeCell ref="K7:K8"/>
    <mergeCell ref="L7:L8"/>
    <mergeCell ref="L5:L6"/>
    <mergeCell ref="K5:K6"/>
    <mergeCell ref="K15:K16"/>
    <mergeCell ref="L15:L16"/>
    <mergeCell ref="L13:L14"/>
    <mergeCell ref="K13:K14"/>
    <mergeCell ref="K11:K12"/>
    <mergeCell ref="L11:L12"/>
    <mergeCell ref="L21:L22"/>
    <mergeCell ref="K21:K22"/>
    <mergeCell ref="K19:K20"/>
    <mergeCell ref="L19:L20"/>
    <mergeCell ref="L17:L18"/>
    <mergeCell ref="K17:K18"/>
    <mergeCell ref="L27:L28"/>
    <mergeCell ref="L25:L26"/>
    <mergeCell ref="K25:K26"/>
    <mergeCell ref="K23:K24"/>
    <mergeCell ref="L23:L24"/>
    <mergeCell ref="I27:I28"/>
    <mergeCell ref="H27:H28"/>
    <mergeCell ref="G27:G28"/>
    <mergeCell ref="J27:J28"/>
    <mergeCell ref="K27:K28"/>
    <mergeCell ref="H17:H18"/>
    <mergeCell ref="I17:I18"/>
    <mergeCell ref="I19:I20"/>
    <mergeCell ref="H19:H20"/>
    <mergeCell ref="H21:H22"/>
    <mergeCell ref="I21:I22"/>
    <mergeCell ref="I11:I12"/>
    <mergeCell ref="H11:H12"/>
    <mergeCell ref="H13:H14"/>
    <mergeCell ref="I13:I14"/>
    <mergeCell ref="I15:I16"/>
    <mergeCell ref="H15:H16"/>
    <mergeCell ref="H5:H6"/>
    <mergeCell ref="I5:I6"/>
    <mergeCell ref="I7:I8"/>
    <mergeCell ref="H7:H8"/>
    <mergeCell ref="H9:H10"/>
    <mergeCell ref="I9:I10"/>
    <mergeCell ref="J17:J18"/>
    <mergeCell ref="J15:J16"/>
    <mergeCell ref="J13:J14"/>
    <mergeCell ref="J11:J12"/>
    <mergeCell ref="J9:J10"/>
    <mergeCell ref="G25:G26"/>
    <mergeCell ref="J25:J26"/>
    <mergeCell ref="J23:J24"/>
    <mergeCell ref="J21:J22"/>
    <mergeCell ref="J19:J20"/>
    <mergeCell ref="I23:I24"/>
    <mergeCell ref="H23:H24"/>
    <mergeCell ref="H25:H26"/>
    <mergeCell ref="I25:I26"/>
    <mergeCell ref="G15:G16"/>
    <mergeCell ref="G17:G18"/>
    <mergeCell ref="G19:G20"/>
    <mergeCell ref="G21:G22"/>
    <mergeCell ref="G23:G24"/>
    <mergeCell ref="B2:E3"/>
    <mergeCell ref="O11:O12"/>
    <mergeCell ref="P11:Q12"/>
    <mergeCell ref="O13:O14"/>
    <mergeCell ref="P13:Q14"/>
    <mergeCell ref="G3:G4"/>
    <mergeCell ref="G5:G6"/>
    <mergeCell ref="G7:G8"/>
    <mergeCell ref="G9:G10"/>
    <mergeCell ref="G11:G12"/>
    <mergeCell ref="G13:G14"/>
    <mergeCell ref="J7:J8"/>
    <mergeCell ref="J5:J6"/>
    <mergeCell ref="J3:J4"/>
    <mergeCell ref="H3:H4"/>
    <mergeCell ref="I3:I4"/>
  </mergeCells>
  <conditionalFormatting sqref="B2:E16 O2:R3 O11:Q12 G3:L27 O19:Q28">
    <cfRule type="expression" dxfId="4" priority="8">
      <formula>$C$22=""</formula>
    </cfRule>
  </conditionalFormatting>
  <conditionalFormatting sqref="J3:L3 J27:L27 J25:L25 J23:L23 J21:L21 J19:L19 J17:L17 J15:L15 J13:L13 J11:L11 J9:L9 J7:L7 J5:L5">
    <cfRule type="expression" dxfId="3" priority="9">
      <formula>_xlfn.CONCAT("Case ",$C$22,":")=$K3</formula>
    </cfRule>
  </conditionalFormatting>
  <conditionalFormatting sqref="G3:I27">
    <cfRule type="expression" dxfId="2" priority="10">
      <formula>_xlfn.CONCAT("Case ",$C$22,":")=$H3</formula>
    </cfRule>
  </conditionalFormatting>
  <conditionalFormatting sqref="O13:Q14">
    <cfRule type="expression" dxfId="1" priority="5">
      <formula>$O$16 = "X"</formula>
    </cfRule>
  </conditionalFormatting>
  <conditionalFormatting sqref="G3:L27">
    <cfRule type="expression" dxfId="0" priority="1">
      <formula>AND(NOT($P$11=""),INDEX($P$19:$P$28,$P$2-1)="")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CED0-532D-45AF-8564-0A7109238C6E}">
  <sheetPr codeName="Sheet2"/>
  <dimension ref="A1:K32"/>
  <sheetViews>
    <sheetView workbookViewId="0">
      <selection activeCell="G9" sqref="G9"/>
    </sheetView>
  </sheetViews>
  <sheetFormatPr defaultRowHeight="14.4" x14ac:dyDescent="0.3"/>
  <cols>
    <col min="6" max="6" width="24.5546875" bestFit="1" customWidth="1"/>
    <col min="7" max="7" width="12" bestFit="1" customWidth="1"/>
  </cols>
  <sheetData>
    <row r="1" spans="1:11" x14ac:dyDescent="0.3">
      <c r="A1">
        <v>0.01</v>
      </c>
      <c r="B1" t="str">
        <f ca="1">IF(NOT(ISNA(MATCH(Program!A1,'Deal or No Deal!'!$I$3:$I$27,0))),IF(AND(INDEX('Deal or No Deal!'!$G$3:$G$27,MATCH(Program!A1,'Deal or No Deal!'!$I$3:$I$27,0))="x",COUNTIF('Deal or No Deal!'!$I$3:$I$27,A1)),"X",""),IF(NOT(ISNA(MATCH(Program!A1,'Deal or No Deal!'!$L$3:$L$27,0))),IF(AND(INDEX('Deal or No Deal!'!$J$3:$J$27,MATCH(Program!A1,'Deal or No Deal!'!$L$3:$L$27,0))="x",COUNTIF('Deal or No Deal!'!$L$3:$L$27,A1)),"X",""),""))</f>
        <v/>
      </c>
      <c r="C1" s="1">
        <v>1000</v>
      </c>
      <c r="D1" t="str">
        <f ca="1">IF(NOT(ISNA(MATCH(Program!C1,'Deal or No Deal!'!$I$3:$I$27,0))),IF(AND(INDEX('Deal or No Deal!'!$G$3:$G$27,MATCH(Program!C1,'Deal or No Deal!'!$I$3:$I$27,0))="x",COUNTIF('Deal or No Deal!'!$I$3:$I$27,C1)),"X",""),IF(NOT(ISNA(MATCH(Program!C1,'Deal or No Deal!'!$L$3:$L$27,0))),IF(AND(INDEX('Deal or No Deal!'!$J$3:$J$27,MATCH(Program!C1,'Deal or No Deal!'!$L$3:$L$27,0))="x",COUNTIF('Deal or No Deal!'!$L$3:$L$27,C1)),"X",""),""))</f>
        <v/>
      </c>
      <c r="F1" t="s">
        <v>0</v>
      </c>
      <c r="G1">
        <f ca="1">AVERAGE(Program!A20:'Program'!C32)</f>
        <v>127154.55049999998</v>
      </c>
      <c r="I1" t="s">
        <v>3</v>
      </c>
      <c r="J1" t="s">
        <v>2</v>
      </c>
      <c r="K1" t="s">
        <v>35</v>
      </c>
    </row>
    <row r="2" spans="1:11" x14ac:dyDescent="0.3">
      <c r="A2">
        <v>1</v>
      </c>
      <c r="B2" t="str">
        <f ca="1">IF(NOT(ISNA(MATCH(Program!A2,'Deal or No Deal!'!$I$3:$I$27,0))),IF(AND(INDEX('Deal or No Deal!'!$G$3:$G$27,MATCH(Program!A2,'Deal or No Deal!'!$I$3:$I$27,0))="x",COUNTIF('Deal or No Deal!'!$I$3:$I$27,A2)),"X",""),IF(NOT(ISNA(MATCH(Program!A2,'Deal or No Deal!'!$L$3:$L$27,0))),IF(AND(INDEX('Deal or No Deal!'!$J$3:$J$27,MATCH(Program!A2,'Deal or No Deal!'!$L$3:$L$27,0))="x",COUNTIF('Deal or No Deal!'!$L$3:$L$27,A2)),"X",""),""))</f>
        <v/>
      </c>
      <c r="C2">
        <v>5000</v>
      </c>
      <c r="D2" t="str">
        <f ca="1">IF(NOT(ISNA(MATCH(Program!C2,'Deal or No Deal!'!$I$3:$I$27,0))),IF(AND(INDEX('Deal or No Deal!'!$G$3:$G$27,MATCH(Program!C2,'Deal or No Deal!'!$I$3:$I$27,0))="x",COUNTIF('Deal or No Deal!'!$I$3:$I$27,C2)),"X",""),IF(NOT(ISNA(MATCH(Program!C2,'Deal or No Deal!'!$L$3:$L$27,0))),IF(AND(INDEX('Deal or No Deal!'!$J$3:$J$27,MATCH(Program!C2,'Deal or No Deal!'!$L$3:$L$27,0))="x",COUNTIF('Deal or No Deal!'!$L$3:$L$27,C2)),"X",""),""))</f>
        <v/>
      </c>
      <c r="F2" t="s">
        <v>36</v>
      </c>
      <c r="G2">
        <f ca="1">_xlfn.STDEV.S(A20,A21,A22,A23,A24,A25,A26,A27,A28,A29,A30,A31,A32,C20,C21,C22,C23,C24,C25,C26,C27,C28,C29,C30,C31,C32)</f>
        <v>253904.92175054518</v>
      </c>
      <c r="I2">
        <v>0</v>
      </c>
      <c r="J2">
        <v>0</v>
      </c>
      <c r="K2">
        <v>0</v>
      </c>
    </row>
    <row r="3" spans="1:11" x14ac:dyDescent="0.3">
      <c r="A3">
        <v>5</v>
      </c>
      <c r="B3" t="str">
        <f ca="1">IF(NOT(ISNA(MATCH(Program!A3,'Deal or No Deal!'!$I$3:$I$27,0))),IF(AND(INDEX('Deal or No Deal!'!$G$3:$G$27,MATCH(Program!A3,'Deal or No Deal!'!$I$3:$I$27,0))="x",COUNTIF('Deal or No Deal!'!$I$3:$I$27,A3)),"X",""),IF(NOT(ISNA(MATCH(Program!A3,'Deal or No Deal!'!$L$3:$L$27,0))),IF(AND(INDEX('Deal or No Deal!'!$J$3:$J$27,MATCH(Program!A3,'Deal or No Deal!'!$L$3:$L$27,0))="x",COUNTIF('Deal or No Deal!'!$L$3:$L$27,A3)),"X",""),""))</f>
        <v/>
      </c>
      <c r="C3">
        <v>10000</v>
      </c>
      <c r="D3" t="str">
        <f ca="1">IF(NOT(ISNA(MATCH(Program!C3,'Deal or No Deal!'!$I$3:$I$27,0))),IF(AND(INDEX('Deal or No Deal!'!$G$3:$G$27,MATCH(Program!C3,'Deal or No Deal!'!$I$3:$I$27,0))="x",COUNTIF('Deal or No Deal!'!$I$3:$I$27,C3)),"X",""),IF(NOT(ISNA(MATCH(Program!C3,'Deal or No Deal!'!$L$3:$L$27,0))),IF(AND(INDEX('Deal or No Deal!'!$J$3:$J$27,MATCH(Program!C3,'Deal or No Deal!'!$L$3:$L$27,0))="x",COUNTIF('Deal or No Deal!'!$L$3:$L$27,C3)),"X",""),""))</f>
        <v/>
      </c>
      <c r="F3" t="s">
        <v>1</v>
      </c>
      <c r="G3">
        <f ca="1">COUNTIF(A20:C32,_xlfn.CONCAT("&gt;",G1))</f>
        <v>5</v>
      </c>
      <c r="I3">
        <v>1</v>
      </c>
      <c r="J3">
        <v>6</v>
      </c>
      <c r="K3">
        <v>6</v>
      </c>
    </row>
    <row r="4" spans="1:11" x14ac:dyDescent="0.3">
      <c r="A4">
        <v>10</v>
      </c>
      <c r="B4" t="str">
        <f ca="1">IF(NOT(ISNA(MATCH(Program!A4,'Deal or No Deal!'!$I$3:$I$27,0))),IF(AND(INDEX('Deal or No Deal!'!$G$3:$G$27,MATCH(Program!A4,'Deal or No Deal!'!$I$3:$I$27,0))="x",COUNTIF('Deal or No Deal!'!$I$3:$I$27,A4)),"X",""),IF(NOT(ISNA(MATCH(Program!A4,'Deal or No Deal!'!$L$3:$L$27,0))),IF(AND(INDEX('Deal or No Deal!'!$J$3:$J$27,MATCH(Program!A4,'Deal or No Deal!'!$L$3:$L$27,0))="x",COUNTIF('Deal or No Deal!'!$L$3:$L$27,A4)),"X",""),""))</f>
        <v/>
      </c>
      <c r="C4">
        <v>25000</v>
      </c>
      <c r="D4" t="str">
        <f ca="1">IF(NOT(ISNA(MATCH(Program!C4,'Deal or No Deal!'!$I$3:$I$27,0))),IF(AND(INDEX('Deal or No Deal!'!$G$3:$G$27,MATCH(Program!C4,'Deal or No Deal!'!$I$3:$I$27,0))="x",COUNTIF('Deal or No Deal!'!$I$3:$I$27,C4)),"X",""),IF(NOT(ISNA(MATCH(Program!C4,'Deal or No Deal!'!$L$3:$L$27,0))),IF(AND(INDEX('Deal or No Deal!'!$J$3:$J$27,MATCH(Program!C4,'Deal or No Deal!'!$L$3:$L$27,0))="x",COUNTIF('Deal or No Deal!'!$L$3:$L$27,C4)),"X",""),""))</f>
        <v>X</v>
      </c>
      <c r="F4" t="s">
        <v>37</v>
      </c>
      <c r="G4">
        <f ca="1">COUNTIF(A20:C32,_xlfn.CONCAT("&lt;",G2))</f>
        <v>16</v>
      </c>
      <c r="I4">
        <v>2</v>
      </c>
      <c r="J4">
        <v>5</v>
      </c>
      <c r="K4">
        <v>11</v>
      </c>
    </row>
    <row r="5" spans="1:11" x14ac:dyDescent="0.3">
      <c r="A5">
        <v>25</v>
      </c>
      <c r="B5" t="str">
        <f ca="1">IF(NOT(ISNA(MATCH(Program!A5,'Deal or No Deal!'!$I$3:$I$27,0))),IF(AND(INDEX('Deal or No Deal!'!$G$3:$G$27,MATCH(Program!A5,'Deal or No Deal!'!$I$3:$I$27,0))="x",COUNTIF('Deal or No Deal!'!$I$3:$I$27,A5)),"X",""),IF(NOT(ISNA(MATCH(Program!A5,'Deal or No Deal!'!$L$3:$L$27,0))),IF(AND(INDEX('Deal or No Deal!'!$J$3:$J$27,MATCH(Program!A5,'Deal or No Deal!'!$L$3:$L$27,0))="x",COUNTIF('Deal or No Deal!'!$L$3:$L$27,A5)),"X",""),""))</f>
        <v>X</v>
      </c>
      <c r="C5">
        <v>50000</v>
      </c>
      <c r="D5" t="str">
        <f ca="1">IF(NOT(ISNA(MATCH(Program!C5,'Deal or No Deal!'!$I$3:$I$27,0))),IF(AND(INDEX('Deal or No Deal!'!$G$3:$G$27,MATCH(Program!C5,'Deal or No Deal!'!$I$3:$I$27,0))="x",COUNTIF('Deal or No Deal!'!$I$3:$I$27,C5)),"X",""),IF(NOT(ISNA(MATCH(Program!C5,'Deal or No Deal!'!$L$3:$L$27,0))),IF(AND(INDEX('Deal or No Deal!'!$J$3:$J$27,MATCH(Program!C5,'Deal or No Deal!'!$L$3:$L$27,0))="x",COUNTIF('Deal or No Deal!'!$L$3:$L$27,C5)),"X",""),""))</f>
        <v/>
      </c>
      <c r="F5" t="s">
        <v>39</v>
      </c>
      <c r="G5">
        <f ca="1">COUNTIF(A20:C32,_xlfn.CONCAT("&gt;",G1+G2))</f>
        <v>3</v>
      </c>
      <c r="I5">
        <v>3</v>
      </c>
      <c r="J5">
        <v>4</v>
      </c>
      <c r="K5">
        <v>15</v>
      </c>
    </row>
    <row r="6" spans="1:11" x14ac:dyDescent="0.3">
      <c r="A6">
        <v>50</v>
      </c>
      <c r="B6" t="str">
        <f ca="1">IF(NOT(ISNA(MATCH(Program!A6,'Deal or No Deal!'!$I$3:$I$27,0))),IF(AND(INDEX('Deal or No Deal!'!$G$3:$G$27,MATCH(Program!A6,'Deal or No Deal!'!$I$3:$I$27,0))="x",COUNTIF('Deal or No Deal!'!$I$3:$I$27,A6)),"X",""),IF(NOT(ISNA(MATCH(Program!A6,'Deal or No Deal!'!$L$3:$L$27,0))),IF(AND(INDEX('Deal or No Deal!'!$J$3:$J$27,MATCH(Program!A6,'Deal or No Deal!'!$L$3:$L$27,0))="x",COUNTIF('Deal or No Deal!'!$L$3:$L$27,A6)),"X",""),""))</f>
        <v/>
      </c>
      <c r="C6">
        <v>75000</v>
      </c>
      <c r="D6" t="str">
        <f ca="1">IF(NOT(ISNA(MATCH(Program!C6,'Deal or No Deal!'!$I$3:$I$27,0))),IF(AND(INDEX('Deal or No Deal!'!$G$3:$G$27,MATCH(Program!C6,'Deal or No Deal!'!$I$3:$I$27,0))="x",COUNTIF('Deal or No Deal!'!$I$3:$I$27,C6)),"X",""),IF(NOT(ISNA(MATCH(Program!C6,'Deal or No Deal!'!$L$3:$L$27,0))),IF(AND(INDEX('Deal or No Deal!'!$J$3:$J$27,MATCH(Program!C6,'Deal or No Deal!'!$L$3:$L$27,0))="x",COUNTIF('Deal or No Deal!'!$L$3:$L$27,C6)),"X",""),""))</f>
        <v/>
      </c>
      <c r="F6" t="s">
        <v>40</v>
      </c>
      <c r="G6">
        <f ca="1">COUNTIF(A20:C32,_xlfn.CONCAT("&lt;",G1-G2))</f>
        <v>0</v>
      </c>
      <c r="I6">
        <v>4</v>
      </c>
      <c r="J6">
        <v>3</v>
      </c>
      <c r="K6">
        <v>18</v>
      </c>
    </row>
    <row r="7" spans="1:11" x14ac:dyDescent="0.3">
      <c r="A7">
        <v>75</v>
      </c>
      <c r="B7" t="str">
        <f ca="1">IF(NOT(ISNA(MATCH(Program!A7,'Deal or No Deal!'!$I$3:$I$27,0))),IF(AND(INDEX('Deal or No Deal!'!$G$3:$G$27,MATCH(Program!A7,'Deal or No Deal!'!$I$3:$I$27,0))="x",COUNTIF('Deal or No Deal!'!$I$3:$I$27,A7)),"X",""),IF(NOT(ISNA(MATCH(Program!A7,'Deal or No Deal!'!$L$3:$L$27,0))),IF(AND(INDEX('Deal or No Deal!'!$J$3:$J$27,MATCH(Program!A7,'Deal or No Deal!'!$L$3:$L$27,0))="x",COUNTIF('Deal or No Deal!'!$L$3:$L$27,A7)),"X",""),""))</f>
        <v/>
      </c>
      <c r="C7">
        <v>100000</v>
      </c>
      <c r="D7" t="str">
        <f ca="1">IF(NOT(ISNA(MATCH(Program!C7,'Deal or No Deal!'!$I$3:$I$27,0))),IF(AND(INDEX('Deal or No Deal!'!$G$3:$G$27,MATCH(Program!C7,'Deal or No Deal!'!$I$3:$I$27,0))="x",COUNTIF('Deal or No Deal!'!$I$3:$I$27,C7)),"X",""),IF(NOT(ISNA(MATCH(Program!C7,'Deal or No Deal!'!$L$3:$L$27,0))),IF(AND(INDEX('Deal or No Deal!'!$J$3:$J$27,MATCH(Program!C7,'Deal or No Deal!'!$L$3:$L$27,0))="x",COUNTIF('Deal or No Deal!'!$L$3:$L$27,C7)),"X",""),""))</f>
        <v>X</v>
      </c>
      <c r="F7" t="s">
        <v>43</v>
      </c>
      <c r="G7">
        <f ca="1">RAND()/3+0.75</f>
        <v>1.0666781333962938</v>
      </c>
      <c r="I7">
        <v>5</v>
      </c>
      <c r="J7">
        <v>2</v>
      </c>
      <c r="K7">
        <v>20</v>
      </c>
    </row>
    <row r="8" spans="1:11" x14ac:dyDescent="0.3">
      <c r="A8">
        <v>100</v>
      </c>
      <c r="B8" t="str">
        <f ca="1">IF(NOT(ISNA(MATCH(Program!A8,'Deal or No Deal!'!$I$3:$I$27,0))),IF(AND(INDEX('Deal or No Deal!'!$G$3:$G$27,MATCH(Program!A8,'Deal or No Deal!'!$I$3:$I$27,0))="x",COUNTIF('Deal or No Deal!'!$I$3:$I$27,A8)),"X",""),IF(NOT(ISNA(MATCH(Program!A8,'Deal or No Deal!'!$L$3:$L$27,0))),IF(AND(INDEX('Deal or No Deal!'!$J$3:$J$27,MATCH(Program!A8,'Deal or No Deal!'!$L$3:$L$27,0))="x",COUNTIF('Deal or No Deal!'!$L$3:$L$27,A8)),"X",""),""))</f>
        <v>X</v>
      </c>
      <c r="C8">
        <v>200000</v>
      </c>
      <c r="D8" t="str">
        <f ca="1">IF(NOT(ISNA(MATCH(Program!C8,'Deal or No Deal!'!$I$3:$I$27,0))),IF(AND(INDEX('Deal or No Deal!'!$G$3:$G$27,MATCH(Program!C8,'Deal or No Deal!'!$I$3:$I$27,0))="x",COUNTIF('Deal or No Deal!'!$I$3:$I$27,C8)),"X",""),IF(NOT(ISNA(MATCH(Program!C8,'Deal or No Deal!'!$L$3:$L$27,0))),IF(AND(INDEX('Deal or No Deal!'!$J$3:$J$27,MATCH(Program!C8,'Deal or No Deal!'!$L$3:$L$27,0))="x",COUNTIF('Deal or No Deal!'!$L$3:$L$27,C8)),"X",""),""))</f>
        <v/>
      </c>
      <c r="F8" t="s">
        <v>38</v>
      </c>
      <c r="G8">
        <f ca="1">ROUND(G7*G1*IF(OR(G4=0,(G3+0.5*G5)&gt;(G4+G6)),1,((G3+0.5*G5)/(G4+G6))),0)</f>
        <v>55101</v>
      </c>
      <c r="I8">
        <v>6</v>
      </c>
      <c r="J8">
        <v>1</v>
      </c>
      <c r="K8">
        <v>21</v>
      </c>
    </row>
    <row r="9" spans="1:11" x14ac:dyDescent="0.3">
      <c r="A9">
        <v>200</v>
      </c>
      <c r="B9" t="str">
        <f ca="1">IF(NOT(ISNA(MATCH(Program!A9,'Deal or No Deal!'!$I$3:$I$27,0))),IF(AND(INDEX('Deal or No Deal!'!$G$3:$G$27,MATCH(Program!A9,'Deal or No Deal!'!$I$3:$I$27,0))="x",COUNTIF('Deal or No Deal!'!$I$3:$I$27,A9)),"X",""),IF(NOT(ISNA(MATCH(Program!A9,'Deal or No Deal!'!$L$3:$L$27,0))),IF(AND(INDEX('Deal or No Deal!'!$J$3:$J$27,MATCH(Program!A9,'Deal or No Deal!'!$L$3:$L$27,0))="x",COUNTIF('Deal or No Deal!'!$L$3:$L$27,A9)),"X",""),""))</f>
        <v>X</v>
      </c>
      <c r="C9">
        <v>300000</v>
      </c>
      <c r="D9" t="str">
        <f ca="1">IF(NOT(ISNA(MATCH(Program!C9,'Deal or No Deal!'!$I$3:$I$27,0))),IF(AND(INDEX('Deal or No Deal!'!$G$3:$G$27,MATCH(Program!C9,'Deal or No Deal!'!$I$3:$I$27,0))="x",COUNTIF('Deal or No Deal!'!$I$3:$I$27,C9)),"X",""),IF(NOT(ISNA(MATCH(Program!C9,'Deal or No Deal!'!$L$3:$L$27,0))),IF(AND(INDEX('Deal or No Deal!'!$J$3:$J$27,MATCH(Program!C9,'Deal or No Deal!'!$L$3:$L$27,0))="x",COUNTIF('Deal or No Deal!'!$L$3:$L$27,C9)),"X",""),""))</f>
        <v/>
      </c>
      <c r="I9">
        <v>7</v>
      </c>
      <c r="J9">
        <v>1</v>
      </c>
      <c r="K9">
        <v>22</v>
      </c>
    </row>
    <row r="10" spans="1:11" x14ac:dyDescent="0.3">
      <c r="A10">
        <v>300</v>
      </c>
      <c r="B10" t="str">
        <f ca="1">IF(NOT(ISNA(MATCH(Program!A10,'Deal or No Deal!'!$I$3:$I$27,0))),IF(AND(INDEX('Deal or No Deal!'!$G$3:$G$27,MATCH(Program!A10,'Deal or No Deal!'!$I$3:$I$27,0))="x",COUNTIF('Deal or No Deal!'!$I$3:$I$27,A10)),"X",""),IF(NOT(ISNA(MATCH(Program!A10,'Deal or No Deal!'!$L$3:$L$27,0))),IF(AND(INDEX('Deal or No Deal!'!$J$3:$J$27,MATCH(Program!A10,'Deal or No Deal!'!$L$3:$L$27,0))="x",COUNTIF('Deal or No Deal!'!$L$3:$L$27,A10)),"X",""),""))</f>
        <v/>
      </c>
      <c r="C10">
        <v>400000</v>
      </c>
      <c r="D10" t="str">
        <f ca="1">IF(NOT(ISNA(MATCH(Program!C10,'Deal or No Deal!'!$I$3:$I$27,0))),IF(AND(INDEX('Deal or No Deal!'!$G$3:$G$27,MATCH(Program!C10,'Deal or No Deal!'!$I$3:$I$27,0))="x",COUNTIF('Deal or No Deal!'!$I$3:$I$27,C10)),"X",""),IF(NOT(ISNA(MATCH(Program!C10,'Deal or No Deal!'!$L$3:$L$27,0))),IF(AND(INDEX('Deal or No Deal!'!$J$3:$J$27,MATCH(Program!C10,'Deal or No Deal!'!$L$3:$L$27,0))="x",COUNTIF('Deal or No Deal!'!$L$3:$L$27,C10)),"X",""),""))</f>
        <v/>
      </c>
      <c r="I10">
        <v>8</v>
      </c>
      <c r="J10">
        <v>1</v>
      </c>
      <c r="K10">
        <v>23</v>
      </c>
    </row>
    <row r="11" spans="1:11" x14ac:dyDescent="0.3">
      <c r="A11">
        <v>400</v>
      </c>
      <c r="B11" t="str">
        <f ca="1">IF(NOT(ISNA(MATCH(Program!A11,'Deal or No Deal!'!$I$3:$I$27,0))),IF(AND(INDEX('Deal or No Deal!'!$G$3:$G$27,MATCH(Program!A11,'Deal or No Deal!'!$I$3:$I$27,0))="x",COUNTIF('Deal or No Deal!'!$I$3:$I$27,A11)),"X",""),IF(NOT(ISNA(MATCH(Program!A11,'Deal or No Deal!'!$L$3:$L$27,0))),IF(AND(INDEX('Deal or No Deal!'!$J$3:$J$27,MATCH(Program!A11,'Deal or No Deal!'!$L$3:$L$27,0))="x",COUNTIF('Deal or No Deal!'!$L$3:$L$27,A11)),"X",""),""))</f>
        <v/>
      </c>
      <c r="C11">
        <v>500000</v>
      </c>
      <c r="D11" t="str">
        <f ca="1">IF(NOT(ISNA(MATCH(Program!C11,'Deal or No Deal!'!$I$3:$I$27,0))),IF(AND(INDEX('Deal or No Deal!'!$G$3:$G$27,MATCH(Program!C11,'Deal or No Deal!'!$I$3:$I$27,0))="x",COUNTIF('Deal or No Deal!'!$I$3:$I$27,C11)),"X",""),IF(NOT(ISNA(MATCH(Program!C11,'Deal or No Deal!'!$L$3:$L$27,0))),IF(AND(INDEX('Deal or No Deal!'!$J$3:$J$27,MATCH(Program!C11,'Deal or No Deal!'!$L$3:$L$27,0))="x",COUNTIF('Deal or No Deal!'!$L$3:$L$27,C11)),"X",""),""))</f>
        <v/>
      </c>
      <c r="I11">
        <v>9</v>
      </c>
      <c r="J11">
        <v>1</v>
      </c>
      <c r="K11">
        <v>24</v>
      </c>
    </row>
    <row r="12" spans="1:11" x14ac:dyDescent="0.3">
      <c r="A12">
        <v>500</v>
      </c>
      <c r="B12" t="str">
        <f ca="1">IF(NOT(ISNA(MATCH(Program!A12,'Deal or No Deal!'!$I$3:$I$27,0))),IF(AND(INDEX('Deal or No Deal!'!$G$3:$G$27,MATCH(Program!A12,'Deal or No Deal!'!$I$3:$I$27,0))="x",COUNTIF('Deal or No Deal!'!$I$3:$I$27,A12)),"X",""),IF(NOT(ISNA(MATCH(Program!A12,'Deal or No Deal!'!$L$3:$L$27,0))),IF(AND(INDEX('Deal or No Deal!'!$J$3:$J$27,MATCH(Program!A12,'Deal or No Deal!'!$L$3:$L$27,0))="x",COUNTIF('Deal or No Deal!'!$L$3:$L$27,A12)),"X",""),""))</f>
        <v/>
      </c>
      <c r="C12">
        <v>750000</v>
      </c>
      <c r="D12" t="str">
        <f ca="1">IF(NOT(ISNA(MATCH(Program!C12,'Deal or No Deal!'!$I$3:$I$27,0))),IF(AND(INDEX('Deal or No Deal!'!$G$3:$G$27,MATCH(Program!C12,'Deal or No Deal!'!$I$3:$I$27,0))="x",COUNTIF('Deal or No Deal!'!$I$3:$I$27,C12)),"X",""),IF(NOT(ISNA(MATCH(Program!C12,'Deal or No Deal!'!$L$3:$L$27,0))),IF(AND(INDEX('Deal or No Deal!'!$J$3:$J$27,MATCH(Program!C12,'Deal or No Deal!'!$L$3:$L$27,0))="x",COUNTIF('Deal or No Deal!'!$L$3:$L$27,C12)),"X",""),""))</f>
        <v>X</v>
      </c>
      <c r="I12">
        <v>10</v>
      </c>
      <c r="J12">
        <v>1</v>
      </c>
      <c r="K12">
        <v>25</v>
      </c>
    </row>
    <row r="13" spans="1:11" x14ac:dyDescent="0.3">
      <c r="A13">
        <v>750</v>
      </c>
      <c r="B13" t="str">
        <f ca="1">IF(NOT(ISNA(MATCH(Program!A13,'Deal or No Deal!'!$I$3:$I$27,0))),IF(AND(INDEX('Deal or No Deal!'!$G$3:$G$27,MATCH(Program!A13,'Deal or No Deal!'!$I$3:$I$27,0))="x",COUNTIF('Deal or No Deal!'!$I$3:$I$27,A13)),"X",""),IF(NOT(ISNA(MATCH(Program!A13,'Deal or No Deal!'!$L$3:$L$27,0))),IF(AND(INDEX('Deal or No Deal!'!$J$3:$J$27,MATCH(Program!A13,'Deal or No Deal!'!$L$3:$L$27,0))="x",COUNTIF('Deal or No Deal!'!$L$3:$L$27,A13)),"X",""),""))</f>
        <v/>
      </c>
      <c r="C13">
        <v>1000000</v>
      </c>
      <c r="D13" t="str">
        <f ca="1">IF(NOT(ISNA(MATCH(Program!C13,'Deal or No Deal!'!$I$3:$I$27,0))),IF(AND(INDEX('Deal or No Deal!'!$G$3:$G$27,MATCH(Program!C13,'Deal or No Deal!'!$I$3:$I$27,0))="x",COUNTIF('Deal or No Deal!'!$I$3:$I$27,C13)),"X",""),IF(NOT(ISNA(MATCH(Program!C13,'Deal or No Deal!'!$L$3:$L$27,0))),IF(AND(INDEX('Deal or No Deal!'!$J$3:$J$27,MATCH(Program!C13,'Deal or No Deal!'!$L$3:$L$27,0))="x",COUNTIF('Deal or No Deal!'!$L$3:$L$27,C13)),"X",""),""))</f>
        <v/>
      </c>
    </row>
    <row r="20" spans="1:3" x14ac:dyDescent="0.3">
      <c r="A20">
        <f ca="1">IF(Program!B1="",Program!A1,"")</f>
        <v>0.01</v>
      </c>
      <c r="B20" t="str">
        <f ca="1">IF(ISBLANK(Program!D1),Program!C1,"")</f>
        <v/>
      </c>
      <c r="C20">
        <f ca="1">IF(Program!D1="",Program!C1,"")</f>
        <v>1000</v>
      </c>
    </row>
    <row r="21" spans="1:3" x14ac:dyDescent="0.3">
      <c r="A21">
        <f ca="1">IF(Program!B2="",Program!A2,"")</f>
        <v>1</v>
      </c>
      <c r="B21" t="str">
        <f ca="1">IF(ISBLANK(Program!D2),Program!C2,"")</f>
        <v/>
      </c>
      <c r="C21">
        <f ca="1">IF(Program!D2="",Program!C2,"")</f>
        <v>5000</v>
      </c>
    </row>
    <row r="22" spans="1:3" x14ac:dyDescent="0.3">
      <c r="A22">
        <f ca="1">IF(Program!B3="",Program!A3,"")</f>
        <v>5</v>
      </c>
      <c r="B22" t="str">
        <f ca="1">IF(ISBLANK(Program!D3),Program!C3,"")</f>
        <v/>
      </c>
      <c r="C22">
        <f ca="1">IF(Program!D3="",Program!C3,"")</f>
        <v>10000</v>
      </c>
    </row>
    <row r="23" spans="1:3" x14ac:dyDescent="0.3">
      <c r="A23">
        <f ca="1">IF(Program!B4="",Program!A4,"")</f>
        <v>10</v>
      </c>
      <c r="B23" t="str">
        <f ca="1">IF(ISBLANK(Program!D4),Program!C4,"")</f>
        <v/>
      </c>
      <c r="C23" t="str">
        <f ca="1">IF(Program!D4="",Program!C4,"")</f>
        <v/>
      </c>
    </row>
    <row r="24" spans="1:3" x14ac:dyDescent="0.3">
      <c r="A24" t="str">
        <f ca="1">IF(Program!B5="",Program!A5,"")</f>
        <v/>
      </c>
      <c r="B24" t="str">
        <f ca="1">IF(ISBLANK(Program!D5),Program!C5,"")</f>
        <v/>
      </c>
      <c r="C24">
        <f ca="1">IF(Program!D5="",Program!C5,"")</f>
        <v>50000</v>
      </c>
    </row>
    <row r="25" spans="1:3" x14ac:dyDescent="0.3">
      <c r="A25">
        <f ca="1">IF(Program!B6="",Program!A6,"")</f>
        <v>50</v>
      </c>
      <c r="B25" t="str">
        <f ca="1">IF(ISBLANK(Program!D6),Program!C6,"")</f>
        <v/>
      </c>
      <c r="C25">
        <f ca="1">IF(Program!D6="",Program!C6,"")</f>
        <v>75000</v>
      </c>
    </row>
    <row r="26" spans="1:3" x14ac:dyDescent="0.3">
      <c r="A26">
        <f ca="1">IF(Program!B7="",Program!A7,"")</f>
        <v>75</v>
      </c>
      <c r="B26" t="str">
        <f ca="1">IF(ISBLANK(Program!D7),Program!C7,"")</f>
        <v/>
      </c>
      <c r="C26" t="str">
        <f ca="1">IF(Program!D7="",Program!C7,"")</f>
        <v/>
      </c>
    </row>
    <row r="27" spans="1:3" x14ac:dyDescent="0.3">
      <c r="A27" t="str">
        <f ca="1">IF(Program!B8="",Program!A8,"")</f>
        <v/>
      </c>
      <c r="B27" t="str">
        <f ca="1">IF(ISBLANK(Program!D8),Program!C8,"")</f>
        <v/>
      </c>
      <c r="C27">
        <f ca="1">IF(Program!D8="",Program!C8,"")</f>
        <v>200000</v>
      </c>
    </row>
    <row r="28" spans="1:3" x14ac:dyDescent="0.3">
      <c r="A28" t="str">
        <f ca="1">IF(Program!B9="",Program!A9,"")</f>
        <v/>
      </c>
      <c r="B28" t="str">
        <f ca="1">IF(ISBLANK(Program!D9),Program!C9,"")</f>
        <v/>
      </c>
      <c r="C28">
        <f ca="1">IF(Program!D9="",Program!C9,"")</f>
        <v>300000</v>
      </c>
    </row>
    <row r="29" spans="1:3" x14ac:dyDescent="0.3">
      <c r="A29">
        <f ca="1">IF(Program!B10="",Program!A10,"")</f>
        <v>300</v>
      </c>
      <c r="B29" t="str">
        <f ca="1">IF(ISBLANK(Program!D10),Program!C10,"")</f>
        <v/>
      </c>
      <c r="C29">
        <f ca="1">IF(Program!D10="",Program!C10,"")</f>
        <v>400000</v>
      </c>
    </row>
    <row r="30" spans="1:3" x14ac:dyDescent="0.3">
      <c r="A30">
        <f ca="1">IF(Program!B11="",Program!A11,"")</f>
        <v>400</v>
      </c>
      <c r="B30" t="str">
        <f ca="1">IF(ISBLANK(Program!D11),Program!C11,"")</f>
        <v/>
      </c>
      <c r="C30">
        <f ca="1">IF(Program!D11="",Program!C11,"")</f>
        <v>500000</v>
      </c>
    </row>
    <row r="31" spans="1:3" x14ac:dyDescent="0.3">
      <c r="A31">
        <f ca="1">IF(Program!B12="",Program!A12,"")</f>
        <v>500</v>
      </c>
      <c r="B31" t="str">
        <f ca="1">IF(ISBLANK(Program!D12),Program!C12,"")</f>
        <v/>
      </c>
      <c r="C31" t="str">
        <f ca="1">IF(Program!D12="",Program!C12,"")</f>
        <v/>
      </c>
    </row>
    <row r="32" spans="1:3" x14ac:dyDescent="0.3">
      <c r="A32">
        <f ca="1">IF(Program!B13="",Program!A13,"")</f>
        <v>750</v>
      </c>
      <c r="B32" t="str">
        <f ca="1">IF(ISBLANK(Program!D13),Program!C13,"")</f>
        <v/>
      </c>
      <c r="C32">
        <f ca="1">IF(Program!D13="",Program!C13,"")</f>
        <v>1000000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2B0-3ED9-4CE7-8AEA-FA856E289B16}">
  <sheetPr codeName="Sheet4"/>
  <dimension ref="A1:G26"/>
  <sheetViews>
    <sheetView workbookViewId="0">
      <selection activeCell="M11" sqref="M11"/>
    </sheetView>
  </sheetViews>
  <sheetFormatPr defaultRowHeight="14.4" x14ac:dyDescent="0.3"/>
  <cols>
    <col min="1" max="16384" width="8.88671875" style="25"/>
  </cols>
  <sheetData>
    <row r="1" spans="1:7" x14ac:dyDescent="0.3">
      <c r="A1" s="25">
        <v>1</v>
      </c>
      <c r="B1" s="25" cm="1">
        <f t="array" aca="1" ref="B1:B26" ca="1">INDEX(_xlfn.SORTBY('Case Values'!G1:G26, _xlfn.RANDARRAY(ROWS('Case Values'!G1:G26))), _xlfn.SEQUENCE(26))</f>
        <v>1000</v>
      </c>
      <c r="G1" s="25">
        <v>0.01</v>
      </c>
    </row>
    <row r="2" spans="1:7" x14ac:dyDescent="0.3">
      <c r="A2" s="25">
        <v>2</v>
      </c>
      <c r="B2" s="25">
        <f ca="1"/>
        <v>100</v>
      </c>
      <c r="G2" s="25">
        <v>1</v>
      </c>
    </row>
    <row r="3" spans="1:7" x14ac:dyDescent="0.3">
      <c r="A3" s="25">
        <v>3</v>
      </c>
      <c r="B3" s="25">
        <f ca="1"/>
        <v>25</v>
      </c>
      <c r="G3" s="25">
        <v>5</v>
      </c>
    </row>
    <row r="4" spans="1:7" x14ac:dyDescent="0.3">
      <c r="A4" s="25">
        <v>4</v>
      </c>
      <c r="B4" s="25">
        <f ca="1"/>
        <v>25000</v>
      </c>
      <c r="G4" s="25">
        <v>10</v>
      </c>
    </row>
    <row r="5" spans="1:7" x14ac:dyDescent="0.3">
      <c r="A5" s="25">
        <v>5</v>
      </c>
      <c r="B5" s="25">
        <f ca="1"/>
        <v>750000</v>
      </c>
      <c r="G5" s="25">
        <v>25</v>
      </c>
    </row>
    <row r="6" spans="1:7" x14ac:dyDescent="0.3">
      <c r="A6" s="25">
        <v>6</v>
      </c>
      <c r="B6" s="25">
        <f ca="1"/>
        <v>100000</v>
      </c>
      <c r="G6" s="25">
        <v>50</v>
      </c>
    </row>
    <row r="7" spans="1:7" x14ac:dyDescent="0.3">
      <c r="A7" s="25">
        <v>7</v>
      </c>
      <c r="B7" s="25">
        <f ca="1"/>
        <v>200</v>
      </c>
      <c r="G7" s="25">
        <v>75</v>
      </c>
    </row>
    <row r="8" spans="1:7" x14ac:dyDescent="0.3">
      <c r="A8" s="25">
        <v>8</v>
      </c>
      <c r="B8" s="25">
        <f ca="1"/>
        <v>1000000</v>
      </c>
      <c r="G8" s="25">
        <v>100</v>
      </c>
    </row>
    <row r="9" spans="1:7" x14ac:dyDescent="0.3">
      <c r="A9" s="25">
        <v>9</v>
      </c>
      <c r="B9" s="25">
        <f ca="1"/>
        <v>5</v>
      </c>
      <c r="G9" s="25">
        <v>200</v>
      </c>
    </row>
    <row r="10" spans="1:7" x14ac:dyDescent="0.3">
      <c r="A10" s="25">
        <v>10</v>
      </c>
      <c r="B10" s="25">
        <f ca="1"/>
        <v>1</v>
      </c>
      <c r="G10" s="25">
        <v>300</v>
      </c>
    </row>
    <row r="11" spans="1:7" x14ac:dyDescent="0.3">
      <c r="A11" s="25">
        <v>11</v>
      </c>
      <c r="B11" s="25">
        <f ca="1"/>
        <v>10000</v>
      </c>
      <c r="G11" s="25">
        <v>400</v>
      </c>
    </row>
    <row r="12" spans="1:7" x14ac:dyDescent="0.3">
      <c r="A12" s="25">
        <v>12</v>
      </c>
      <c r="B12" s="25">
        <f ca="1"/>
        <v>0.01</v>
      </c>
      <c r="G12" s="25">
        <v>500</v>
      </c>
    </row>
    <row r="13" spans="1:7" x14ac:dyDescent="0.3">
      <c r="A13" s="25">
        <v>13</v>
      </c>
      <c r="B13" s="25">
        <f ca="1"/>
        <v>300</v>
      </c>
      <c r="G13" s="25">
        <v>750</v>
      </c>
    </row>
    <row r="14" spans="1:7" x14ac:dyDescent="0.3">
      <c r="A14" s="25">
        <v>14</v>
      </c>
      <c r="B14" s="25">
        <f ca="1"/>
        <v>50</v>
      </c>
      <c r="E14" s="25" t="s">
        <v>33</v>
      </c>
      <c r="G14" s="25">
        <v>1000</v>
      </c>
    </row>
    <row r="15" spans="1:7" x14ac:dyDescent="0.3">
      <c r="A15" s="25">
        <v>15</v>
      </c>
      <c r="B15" s="25">
        <f ca="1"/>
        <v>400</v>
      </c>
      <c r="G15" s="25">
        <v>5000</v>
      </c>
    </row>
    <row r="16" spans="1:7" x14ac:dyDescent="0.3">
      <c r="A16" s="25">
        <v>16</v>
      </c>
      <c r="B16" s="25">
        <f ca="1"/>
        <v>400000</v>
      </c>
      <c r="G16" s="25">
        <v>10000</v>
      </c>
    </row>
    <row r="17" spans="1:7" x14ac:dyDescent="0.3">
      <c r="A17" s="25">
        <v>17</v>
      </c>
      <c r="B17" s="25">
        <f ca="1"/>
        <v>500000</v>
      </c>
      <c r="G17" s="25">
        <v>25000</v>
      </c>
    </row>
    <row r="18" spans="1:7" x14ac:dyDescent="0.3">
      <c r="A18" s="25">
        <v>18</v>
      </c>
      <c r="B18" s="25">
        <f ca="1"/>
        <v>5000</v>
      </c>
      <c r="G18" s="25">
        <v>50000</v>
      </c>
    </row>
    <row r="19" spans="1:7" x14ac:dyDescent="0.3">
      <c r="A19" s="25">
        <v>19</v>
      </c>
      <c r="B19" s="25">
        <f ca="1"/>
        <v>75</v>
      </c>
      <c r="G19" s="25">
        <v>75000</v>
      </c>
    </row>
    <row r="20" spans="1:7" x14ac:dyDescent="0.3">
      <c r="A20" s="25">
        <v>20</v>
      </c>
      <c r="B20" s="25">
        <f ca="1"/>
        <v>75000</v>
      </c>
      <c r="G20" s="25">
        <v>100000</v>
      </c>
    </row>
    <row r="21" spans="1:7" x14ac:dyDescent="0.3">
      <c r="A21" s="25">
        <v>21</v>
      </c>
      <c r="B21" s="25">
        <f ca="1"/>
        <v>10</v>
      </c>
      <c r="G21" s="25">
        <v>200000</v>
      </c>
    </row>
    <row r="22" spans="1:7" x14ac:dyDescent="0.3">
      <c r="A22" s="25">
        <v>22</v>
      </c>
      <c r="B22" s="25">
        <f ca="1"/>
        <v>500</v>
      </c>
      <c r="G22" s="25">
        <v>300000</v>
      </c>
    </row>
    <row r="23" spans="1:7" x14ac:dyDescent="0.3">
      <c r="A23" s="25">
        <v>23</v>
      </c>
      <c r="B23" s="25">
        <f ca="1"/>
        <v>50000</v>
      </c>
      <c r="G23" s="25">
        <v>400000</v>
      </c>
    </row>
    <row r="24" spans="1:7" x14ac:dyDescent="0.3">
      <c r="A24" s="25">
        <v>24</v>
      </c>
      <c r="B24" s="25">
        <f ca="1"/>
        <v>200000</v>
      </c>
      <c r="G24" s="25">
        <v>500000</v>
      </c>
    </row>
    <row r="25" spans="1:7" x14ac:dyDescent="0.3">
      <c r="A25" s="25">
        <v>25</v>
      </c>
      <c r="B25" s="25">
        <f ca="1"/>
        <v>300000</v>
      </c>
      <c r="G25" s="25">
        <v>750000</v>
      </c>
    </row>
    <row r="26" spans="1:7" x14ac:dyDescent="0.3">
      <c r="A26" s="25">
        <v>26</v>
      </c>
      <c r="B26" s="25">
        <f ca="1"/>
        <v>750</v>
      </c>
      <c r="G26" s="25">
        <v>1000000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0CA61A-F802-4590-B272-2D52BDCB92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Deal or No Deal!</vt:lpstr>
      <vt:lpstr>Program</vt:lpstr>
      <vt:lpstr>Case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Lambrecht</dc:creator>
  <cp:lastModifiedBy>Joe Lambrecht</cp:lastModifiedBy>
  <dcterms:created xsi:type="dcterms:W3CDTF">2021-05-20T16:23:46Z</dcterms:created>
  <dcterms:modified xsi:type="dcterms:W3CDTF">2021-06-16T22:20:07Z</dcterms:modified>
</cp:coreProperties>
</file>